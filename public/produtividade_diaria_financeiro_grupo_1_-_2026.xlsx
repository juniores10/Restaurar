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Qualidade - Danilo - Nicole\Produtividade Danilo Nicole\"/>
    </mc:Choice>
  </mc:AlternateContent>
  <xr:revisionPtr revIDLastSave="0" documentId="13_ncr:1_{C54A9B82-E5A9-4D56-9A68-D6EFDE2FA36C}" xr6:coauthVersionLast="47" xr6:coauthVersionMax="47" xr10:uidLastSave="{00000000-0000-0000-0000-000000000000}"/>
  <bookViews>
    <workbookView xWindow="-120" yWindow="-120" windowWidth="29040" windowHeight="15840" tabRatio="856" firstSheet="3" activeTab="12" xr2:uid="{00000000-000D-0000-FFFF-FFFF00000000}"/>
  </bookViews>
  <sheets>
    <sheet name="JANEIRO" sheetId="24" r:id="rId1"/>
    <sheet name="FEVEREIRO" sheetId="25" r:id="rId2"/>
    <sheet name="MARÇO" sheetId="26" r:id="rId3"/>
    <sheet name="ABRIL" sheetId="27" r:id="rId4"/>
    <sheet name="MAIO" sheetId="28" r:id="rId5"/>
    <sheet name="JUNHO" sheetId="29" r:id="rId6"/>
    <sheet name="JULHO" sheetId="30" r:id="rId7"/>
    <sheet name="AGOSTO" sheetId="31" r:id="rId8"/>
    <sheet name="SETEMBRO" sheetId="32" r:id="rId9"/>
    <sheet name="OUTUBRO" sheetId="33" r:id="rId10"/>
    <sheet name="NOVEMBRO 2025" sheetId="34" r:id="rId11"/>
    <sheet name="DEZEMBRO 2025" sheetId="36" r:id="rId12"/>
    <sheet name="JANEIRO 2026" sheetId="37" r:id="rId13"/>
    <sheet name="Gráfico1" sheetId="3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37" l="1"/>
  <c r="AI14" i="37" s="1"/>
  <c r="J26" i="37" l="1"/>
  <c r="J19" i="37"/>
  <c r="I14" i="37" l="1"/>
  <c r="H14" i="37"/>
  <c r="G14" i="37"/>
  <c r="F14" i="37"/>
  <c r="E14" i="37"/>
  <c r="K14" i="37" l="1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J14" i="37"/>
  <c r="AI13" i="37"/>
  <c r="AI11" i="37"/>
  <c r="AI12" i="37"/>
  <c r="AI9" i="37"/>
  <c r="AI4" i="37"/>
  <c r="AI8" i="37"/>
  <c r="AI7" i="37"/>
  <c r="AI10" i="37"/>
  <c r="AI6" i="37"/>
  <c r="AI5" i="37"/>
  <c r="AH79" i="37"/>
  <c r="AG79" i="37"/>
  <c r="AF79" i="37"/>
  <c r="AE79" i="37"/>
  <c r="AD79" i="37"/>
  <c r="AC79" i="37"/>
  <c r="AB79" i="37"/>
  <c r="AA79" i="37"/>
  <c r="Z79" i="37"/>
  <c r="Y79" i="37"/>
  <c r="X79" i="37"/>
  <c r="W79" i="37"/>
  <c r="V79" i="37"/>
  <c r="U79" i="37"/>
  <c r="T79" i="37"/>
  <c r="S79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9" i="37"/>
  <c r="E79" i="37"/>
  <c r="D79" i="37"/>
  <c r="AI72" i="37" l="1"/>
  <c r="AI71" i="37"/>
  <c r="AI70" i="37"/>
  <c r="AI69" i="37"/>
  <c r="AI68" i="37"/>
  <c r="AI67" i="37"/>
  <c r="AI78" i="37"/>
  <c r="AI77" i="37"/>
  <c r="AI76" i="37"/>
  <c r="AI75" i="37"/>
  <c r="AI74" i="37"/>
  <c r="AI73" i="37"/>
  <c r="AI60" i="37"/>
  <c r="AI59" i="37"/>
  <c r="AI58" i="37"/>
  <c r="AI57" i="37"/>
  <c r="AI56" i="37"/>
  <c r="AI55" i="37"/>
  <c r="AI42" i="37"/>
  <c r="AI41" i="37"/>
  <c r="AI40" i="37"/>
  <c r="AI39" i="37"/>
  <c r="AI38" i="37"/>
  <c r="AI37" i="37"/>
  <c r="AI66" i="37"/>
  <c r="AI65" i="37"/>
  <c r="AI64" i="37"/>
  <c r="AI63" i="37"/>
  <c r="AI62" i="37"/>
  <c r="AI61" i="37"/>
  <c r="AI54" i="37"/>
  <c r="AI53" i="37"/>
  <c r="AI52" i="37"/>
  <c r="AI51" i="37"/>
  <c r="AI50" i="37"/>
  <c r="AI49" i="37"/>
  <c r="AI36" i="37"/>
  <c r="AI35" i="37"/>
  <c r="AI34" i="37"/>
  <c r="AI33" i="37"/>
  <c r="AI32" i="37"/>
  <c r="AI31" i="37"/>
  <c r="AI48" i="37"/>
  <c r="AI47" i="37"/>
  <c r="AI46" i="37"/>
  <c r="AI45" i="37"/>
  <c r="AI44" i="37"/>
  <c r="AI43" i="37"/>
  <c r="AI24" i="37"/>
  <c r="AI23" i="37"/>
  <c r="AI22" i="37"/>
  <c r="AI21" i="37"/>
  <c r="AI19" i="37"/>
  <c r="AI30" i="37"/>
  <c r="AI29" i="37"/>
  <c r="AI28" i="37"/>
  <c r="AI27" i="37"/>
  <c r="AI26" i="37"/>
  <c r="AI25" i="37"/>
  <c r="AJ73" i="37" l="1"/>
  <c r="AJ55" i="37"/>
  <c r="AJ31" i="37"/>
  <c r="AJ61" i="37"/>
  <c r="AJ67" i="37"/>
  <c r="AJ43" i="37"/>
  <c r="AJ49" i="37"/>
  <c r="AJ37" i="37"/>
  <c r="AJ25" i="37"/>
  <c r="AI20" i="37"/>
  <c r="AI79" i="37" s="1"/>
  <c r="AJ19" i="37" l="1"/>
  <c r="AJ79" i="37" s="1"/>
  <c r="D15" i="36"/>
  <c r="AG20" i="36"/>
  <c r="AF27" i="36" l="1"/>
  <c r="AC32" i="36" l="1"/>
  <c r="R15" i="36" l="1"/>
  <c r="AE15" i="36"/>
  <c r="E15" i="36"/>
  <c r="F15" i="36"/>
  <c r="G15" i="36"/>
  <c r="H15" i="36"/>
  <c r="I15" i="36"/>
  <c r="J15" i="36"/>
  <c r="K15" i="36"/>
  <c r="L15" i="36"/>
  <c r="M15" i="36"/>
  <c r="N15" i="36"/>
  <c r="O15" i="36"/>
  <c r="P15" i="36"/>
  <c r="Q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AF15" i="36"/>
  <c r="AG15" i="36"/>
  <c r="AH15" i="36"/>
  <c r="AI15" i="36" l="1"/>
  <c r="AI27" i="36"/>
  <c r="AI28" i="36"/>
  <c r="AI29" i="36"/>
  <c r="AI30" i="36"/>
  <c r="AI31" i="36"/>
  <c r="AI26" i="36"/>
  <c r="D86" i="36" l="1"/>
  <c r="E86" i="36" l="1"/>
  <c r="F86" i="36"/>
  <c r="G86" i="36"/>
  <c r="H86" i="36"/>
  <c r="I86" i="36"/>
  <c r="J86" i="36"/>
  <c r="K86" i="36"/>
  <c r="L86" i="36"/>
  <c r="M86" i="36"/>
  <c r="N86" i="36"/>
  <c r="O86" i="36"/>
  <c r="P86" i="36"/>
  <c r="Q86" i="36"/>
  <c r="R86" i="36"/>
  <c r="S86" i="36"/>
  <c r="T86" i="36"/>
  <c r="U86" i="36"/>
  <c r="V86" i="36"/>
  <c r="W86" i="36"/>
  <c r="X86" i="36"/>
  <c r="Y86" i="36"/>
  <c r="Z86" i="36"/>
  <c r="AA86" i="36"/>
  <c r="AB86" i="36"/>
  <c r="AC86" i="36"/>
  <c r="AD86" i="36"/>
  <c r="AE86" i="36"/>
  <c r="AF86" i="36"/>
  <c r="AG86" i="36"/>
  <c r="AH86" i="36"/>
  <c r="AI61" i="36"/>
  <c r="AI60" i="36"/>
  <c r="AI59" i="36"/>
  <c r="AI58" i="36"/>
  <c r="AI57" i="36"/>
  <c r="AI56" i="36"/>
  <c r="AI37" i="36"/>
  <c r="AI36" i="36"/>
  <c r="AI35" i="36"/>
  <c r="AI34" i="36"/>
  <c r="AI33" i="36"/>
  <c r="AI32" i="36"/>
  <c r="AI67" i="36"/>
  <c r="AI66" i="36"/>
  <c r="AI65" i="36"/>
  <c r="AI64" i="36"/>
  <c r="AI63" i="36"/>
  <c r="AI62" i="36"/>
  <c r="AI73" i="36"/>
  <c r="AI72" i="36"/>
  <c r="AI71" i="36"/>
  <c r="AI70" i="36"/>
  <c r="AI69" i="36"/>
  <c r="AI68" i="36"/>
  <c r="AI79" i="36"/>
  <c r="AI78" i="36"/>
  <c r="AI77" i="36"/>
  <c r="AI76" i="36"/>
  <c r="AI75" i="36"/>
  <c r="AI74" i="36"/>
  <c r="AI55" i="36"/>
  <c r="AI54" i="36"/>
  <c r="AI53" i="36"/>
  <c r="AI52" i="36"/>
  <c r="AI51" i="36"/>
  <c r="AI50" i="36"/>
  <c r="AI85" i="36"/>
  <c r="AI84" i="36"/>
  <c r="AI83" i="36"/>
  <c r="AI82" i="36"/>
  <c r="AI81" i="36"/>
  <c r="AI80" i="36"/>
  <c r="AI49" i="36"/>
  <c r="AI48" i="36"/>
  <c r="AI47" i="36"/>
  <c r="AI46" i="36"/>
  <c r="AI45" i="36"/>
  <c r="AI44" i="36"/>
  <c r="AI43" i="36"/>
  <c r="AI42" i="36"/>
  <c r="AI41" i="36"/>
  <c r="AI40" i="36"/>
  <c r="AI39" i="36"/>
  <c r="AI38" i="36"/>
  <c r="AI25" i="36"/>
  <c r="AI24" i="36"/>
  <c r="AI23" i="36"/>
  <c r="AI22" i="36"/>
  <c r="AI21" i="36"/>
  <c r="AI20" i="36"/>
  <c r="AI11" i="36"/>
  <c r="AI6" i="36"/>
  <c r="AI13" i="36"/>
  <c r="AI8" i="36"/>
  <c r="AI12" i="36"/>
  <c r="AI10" i="36"/>
  <c r="AI9" i="36"/>
  <c r="AI14" i="36"/>
  <c r="AI7" i="36"/>
  <c r="AI5" i="36"/>
  <c r="AI4" i="36"/>
  <c r="D93" i="34"/>
  <c r="AJ20" i="36" l="1"/>
  <c r="AI86" i="36"/>
  <c r="AJ38" i="36"/>
  <c r="AJ74" i="36"/>
  <c r="AJ56" i="36"/>
  <c r="AJ44" i="36"/>
  <c r="AJ80" i="36"/>
  <c r="AJ50" i="36"/>
  <c r="AJ68" i="36"/>
  <c r="AJ62" i="36"/>
  <c r="AJ32" i="36"/>
  <c r="AJ26" i="36"/>
  <c r="D16" i="34"/>
  <c r="AJ86" i="36" l="1"/>
  <c r="AH14" i="34"/>
  <c r="AH80" i="34"/>
  <c r="AH79" i="34"/>
  <c r="AH78" i="34"/>
  <c r="AH77" i="34"/>
  <c r="AH76" i="34"/>
  <c r="AH75" i="34"/>
  <c r="AI75" i="34" l="1"/>
  <c r="AH11" i="34" l="1"/>
  <c r="AH69" i="34"/>
  <c r="AH70" i="34"/>
  <c r="AH71" i="34"/>
  <c r="AH72" i="34"/>
  <c r="AH73" i="34"/>
  <c r="AH74" i="34"/>
  <c r="AI69" i="34" l="1"/>
  <c r="E16" i="34" l="1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 l="1"/>
  <c r="E93" i="34"/>
  <c r="F93" i="34"/>
  <c r="G93" i="34"/>
  <c r="H93" i="34"/>
  <c r="I93" i="34"/>
  <c r="J93" i="34"/>
  <c r="K93" i="34"/>
  <c r="L93" i="34"/>
  <c r="M93" i="34"/>
  <c r="N93" i="34"/>
  <c r="O93" i="34"/>
  <c r="P93" i="34"/>
  <c r="Q93" i="34"/>
  <c r="R93" i="34"/>
  <c r="S93" i="34"/>
  <c r="T93" i="34"/>
  <c r="U93" i="34"/>
  <c r="V93" i="34"/>
  <c r="W93" i="34"/>
  <c r="X93" i="34"/>
  <c r="Y93" i="34"/>
  <c r="Z93" i="34"/>
  <c r="AA93" i="34"/>
  <c r="AB93" i="34"/>
  <c r="AC93" i="34"/>
  <c r="AD93" i="34"/>
  <c r="AE93" i="34"/>
  <c r="AF93" i="34"/>
  <c r="AG93" i="34"/>
  <c r="AH87" i="34"/>
  <c r="AH88" i="34"/>
  <c r="AH89" i="34"/>
  <c r="AH90" i="34"/>
  <c r="AH91" i="34"/>
  <c r="AH92" i="34"/>
  <c r="AI87" i="34" l="1"/>
  <c r="AH68" i="34" l="1"/>
  <c r="AH67" i="34"/>
  <c r="AH66" i="34"/>
  <c r="AH65" i="34"/>
  <c r="AH64" i="34"/>
  <c r="AH63" i="34"/>
  <c r="AH86" i="34"/>
  <c r="AH85" i="34"/>
  <c r="AH84" i="34"/>
  <c r="AH83" i="34"/>
  <c r="AH82" i="34"/>
  <c r="AH81" i="34"/>
  <c r="AH62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H47" i="34"/>
  <c r="AH46" i="34"/>
  <c r="AH45" i="34"/>
  <c r="AH38" i="34"/>
  <c r="AH37" i="34"/>
  <c r="AH36" i="34"/>
  <c r="AH35" i="34"/>
  <c r="AH34" i="34"/>
  <c r="AH33" i="34"/>
  <c r="AH44" i="34"/>
  <c r="AH43" i="34"/>
  <c r="AH42" i="34"/>
  <c r="AH41" i="34"/>
  <c r="AH40" i="34"/>
  <c r="AH39" i="34"/>
  <c r="AH32" i="34"/>
  <c r="AH31" i="34"/>
  <c r="AH30" i="34"/>
  <c r="AH29" i="34"/>
  <c r="AH28" i="34"/>
  <c r="AH27" i="34"/>
  <c r="AH26" i="34"/>
  <c r="AH25" i="34"/>
  <c r="AH24" i="34"/>
  <c r="AH23" i="34"/>
  <c r="AH22" i="34"/>
  <c r="AH21" i="34"/>
  <c r="AH12" i="34"/>
  <c r="AH13" i="34"/>
  <c r="AH15" i="34"/>
  <c r="AH10" i="34"/>
  <c r="AH9" i="34"/>
  <c r="AH8" i="34"/>
  <c r="AH7" i="34"/>
  <c r="AH6" i="34"/>
  <c r="AH5" i="34"/>
  <c r="AH4" i="34"/>
  <c r="D79" i="33"/>
  <c r="D14" i="33"/>
  <c r="AH93" i="34" l="1"/>
  <c r="AI45" i="34"/>
  <c r="AI57" i="34"/>
  <c r="AI63" i="34"/>
  <c r="AI39" i="34"/>
  <c r="AI33" i="34"/>
  <c r="AI51" i="34"/>
  <c r="AI81" i="34"/>
  <c r="AI27" i="34"/>
  <c r="AI21" i="34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93" i="34" l="1"/>
  <c r="AI14" i="33"/>
  <c r="E79" i="33"/>
  <c r="F79" i="33"/>
  <c r="G79" i="33"/>
  <c r="H79" i="33"/>
  <c r="I79" i="33"/>
  <c r="J79" i="33"/>
  <c r="K79" i="33"/>
  <c r="L79" i="33"/>
  <c r="M79" i="33"/>
  <c r="N79" i="33"/>
  <c r="O79" i="33"/>
  <c r="P79" i="33"/>
  <c r="Q79" i="33"/>
  <c r="R79" i="33"/>
  <c r="S79" i="33"/>
  <c r="T79" i="33"/>
  <c r="U79" i="33"/>
  <c r="V79" i="33"/>
  <c r="W79" i="33"/>
  <c r="X79" i="33"/>
  <c r="Y79" i="33"/>
  <c r="Z79" i="33"/>
  <c r="AA79" i="33"/>
  <c r="AB79" i="33"/>
  <c r="AC79" i="33"/>
  <c r="AD79" i="33"/>
  <c r="AE79" i="33"/>
  <c r="AF79" i="33"/>
  <c r="AG79" i="33"/>
  <c r="AH79" i="33"/>
  <c r="AI12" i="33" l="1"/>
  <c r="AI67" i="33"/>
  <c r="AI68" i="33"/>
  <c r="AI69" i="33"/>
  <c r="AI70" i="33"/>
  <c r="AI71" i="33"/>
  <c r="AI72" i="33"/>
  <c r="AJ67" i="33" l="1"/>
  <c r="AI36" i="33" l="1"/>
  <c r="AI35" i="33"/>
  <c r="AI34" i="33"/>
  <c r="AI33" i="33"/>
  <c r="AI32" i="33"/>
  <c r="AI31" i="33"/>
  <c r="AI78" i="33"/>
  <c r="AI77" i="33"/>
  <c r="AI76" i="33"/>
  <c r="AI75" i="33"/>
  <c r="AI74" i="33"/>
  <c r="AI73" i="33"/>
  <c r="AI66" i="33"/>
  <c r="AI65" i="33"/>
  <c r="AI64" i="33"/>
  <c r="AI63" i="33"/>
  <c r="AI62" i="33"/>
  <c r="AI61" i="33"/>
  <c r="AI54" i="33"/>
  <c r="AI53" i="33"/>
  <c r="AI52" i="33"/>
  <c r="AI51" i="33"/>
  <c r="AI50" i="33"/>
  <c r="AI49" i="33"/>
  <c r="AI60" i="33"/>
  <c r="AI59" i="33"/>
  <c r="AI58" i="33"/>
  <c r="AI57" i="33"/>
  <c r="AI56" i="33"/>
  <c r="AI55" i="33"/>
  <c r="AI48" i="33"/>
  <c r="AI47" i="33"/>
  <c r="AI46" i="33"/>
  <c r="AI45" i="33"/>
  <c r="AI44" i="33"/>
  <c r="AI43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42" i="33"/>
  <c r="AI41" i="33"/>
  <c r="AI40" i="33"/>
  <c r="AI39" i="33"/>
  <c r="AI38" i="33"/>
  <c r="AI37" i="33"/>
  <c r="AI7" i="33"/>
  <c r="AI9" i="33"/>
  <c r="AI10" i="33"/>
  <c r="AI13" i="33"/>
  <c r="AI11" i="33"/>
  <c r="AI8" i="33"/>
  <c r="AI5" i="33"/>
  <c r="AI6" i="33"/>
  <c r="AI4" i="33"/>
  <c r="D14" i="32"/>
  <c r="AG14" i="32"/>
  <c r="AI79" i="33" l="1"/>
  <c r="AJ73" i="33"/>
  <c r="AJ43" i="33"/>
  <c r="AJ31" i="33"/>
  <c r="AJ55" i="33"/>
  <c r="AJ19" i="33"/>
  <c r="AJ25" i="33"/>
  <c r="AJ49" i="33"/>
  <c r="AJ61" i="33"/>
  <c r="AJ37" i="33"/>
  <c r="D79" i="32"/>
  <c r="AJ79" i="33" l="1"/>
  <c r="E79" i="32"/>
  <c r="F79" i="32"/>
  <c r="G79" i="32"/>
  <c r="H79" i="32"/>
  <c r="I79" i="32"/>
  <c r="J79" i="32"/>
  <c r="K79" i="32"/>
  <c r="L79" i="32"/>
  <c r="M79" i="32"/>
  <c r="N79" i="32"/>
  <c r="O79" i="32"/>
  <c r="P79" i="32"/>
  <c r="Q79" i="32"/>
  <c r="R79" i="32"/>
  <c r="S79" i="32"/>
  <c r="T79" i="32"/>
  <c r="U79" i="32"/>
  <c r="V79" i="32"/>
  <c r="X79" i="32"/>
  <c r="Y79" i="32"/>
  <c r="Z79" i="32"/>
  <c r="AA79" i="32"/>
  <c r="AB79" i="32"/>
  <c r="AC79" i="32"/>
  <c r="AD79" i="32"/>
  <c r="AE79" i="32"/>
  <c r="AF79" i="32"/>
  <c r="AG79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E14" i="32"/>
  <c r="AF14" i="32"/>
  <c r="AH14" i="32" l="1"/>
  <c r="W49" i="32"/>
  <c r="W79" i="32" s="1"/>
  <c r="AH5" i="32" l="1"/>
  <c r="AH4" i="32"/>
  <c r="AH36" i="32" l="1"/>
  <c r="AH62" i="32"/>
  <c r="AH63" i="32"/>
  <c r="AH64" i="32"/>
  <c r="AH65" i="32"/>
  <c r="AH66" i="32"/>
  <c r="AH61" i="32"/>
  <c r="AI61" i="32" l="1"/>
  <c r="AH72" i="32"/>
  <c r="AH71" i="32"/>
  <c r="AH70" i="32"/>
  <c r="AH69" i="32"/>
  <c r="AH68" i="32"/>
  <c r="AH67" i="32"/>
  <c r="AH7" i="32"/>
  <c r="AH8" i="32"/>
  <c r="AH10" i="32"/>
  <c r="AH9" i="32"/>
  <c r="AH11" i="32"/>
  <c r="AH12" i="32"/>
  <c r="AH6" i="32"/>
  <c r="AH13" i="32"/>
  <c r="AI67" i="32" l="1"/>
  <c r="AH30" i="32" l="1"/>
  <c r="AH29" i="32"/>
  <c r="AH28" i="32"/>
  <c r="AH27" i="32"/>
  <c r="AH26" i="32"/>
  <c r="AH25" i="32"/>
  <c r="AH35" i="32"/>
  <c r="AH34" i="32"/>
  <c r="AH33" i="32"/>
  <c r="AH32" i="32"/>
  <c r="AH31" i="32"/>
  <c r="AH54" i="32"/>
  <c r="AH53" i="32"/>
  <c r="AH52" i="32"/>
  <c r="AH51" i="32"/>
  <c r="AH50" i="32"/>
  <c r="AH49" i="32"/>
  <c r="AH60" i="32"/>
  <c r="AH59" i="32"/>
  <c r="AH58" i="32"/>
  <c r="AH57" i="32"/>
  <c r="AH56" i="32"/>
  <c r="AH55" i="32"/>
  <c r="AH48" i="32"/>
  <c r="AH47" i="32"/>
  <c r="AH46" i="32"/>
  <c r="AH45" i="32"/>
  <c r="AH44" i="32"/>
  <c r="AH43" i="32"/>
  <c r="AH42" i="32"/>
  <c r="AH41" i="32"/>
  <c r="AH40" i="32"/>
  <c r="AH39" i="32"/>
  <c r="AH38" i="32"/>
  <c r="AH37" i="32"/>
  <c r="AH78" i="32"/>
  <c r="AH77" i="32"/>
  <c r="AH76" i="32"/>
  <c r="AH75" i="32"/>
  <c r="AH74" i="32"/>
  <c r="AH73" i="32"/>
  <c r="AH24" i="32"/>
  <c r="AH23" i="32"/>
  <c r="AH22" i="32"/>
  <c r="AH21" i="32"/>
  <c r="AH20" i="32"/>
  <c r="AH19" i="32"/>
  <c r="AH79" i="32" l="1"/>
  <c r="AI31" i="32"/>
  <c r="AI73" i="32"/>
  <c r="AI25" i="32"/>
  <c r="AI37" i="32"/>
  <c r="AI49" i="32"/>
  <c r="AI19" i="32"/>
  <c r="AI55" i="32"/>
  <c r="AI43" i="32"/>
  <c r="AI5" i="31"/>
  <c r="AI4" i="31"/>
  <c r="AI79" i="32" l="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58" i="31" l="1"/>
  <c r="AI57" i="31"/>
  <c r="AI56" i="31"/>
  <c r="AI55" i="31"/>
  <c r="AI54" i="31"/>
  <c r="AI53" i="31"/>
  <c r="AI64" i="31"/>
  <c r="AI63" i="31"/>
  <c r="AI62" i="31"/>
  <c r="AI61" i="31"/>
  <c r="AI60" i="31"/>
  <c r="AI59" i="31"/>
  <c r="AI52" i="31"/>
  <c r="AI51" i="31"/>
  <c r="AI50" i="31"/>
  <c r="AI49" i="31"/>
  <c r="AI48" i="31"/>
  <c r="AI47" i="31"/>
  <c r="AI40" i="31"/>
  <c r="AI39" i="31"/>
  <c r="AI38" i="31"/>
  <c r="AI37" i="31"/>
  <c r="AI36" i="31"/>
  <c r="AI35" i="31"/>
  <c r="AI34" i="31"/>
  <c r="AI33" i="31"/>
  <c r="AI32" i="31"/>
  <c r="AI31" i="31"/>
  <c r="AI30" i="31"/>
  <c r="AI29" i="31"/>
  <c r="AI22" i="31"/>
  <c r="AI21" i="31"/>
  <c r="AI20" i="31"/>
  <c r="AI19" i="31"/>
  <c r="AI18" i="31"/>
  <c r="AI17" i="31"/>
  <c r="AI46" i="31"/>
  <c r="AI45" i="31"/>
  <c r="AI44" i="31"/>
  <c r="AI43" i="31"/>
  <c r="AI42" i="31"/>
  <c r="AI41" i="31"/>
  <c r="AI28" i="31"/>
  <c r="AI27" i="31"/>
  <c r="AI26" i="31"/>
  <c r="AI25" i="31"/>
  <c r="AI24" i="31"/>
  <c r="AI23" i="31"/>
  <c r="AH12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H12" i="31"/>
  <c r="G12" i="31"/>
  <c r="F12" i="31"/>
  <c r="E12" i="31"/>
  <c r="D12" i="31"/>
  <c r="AI11" i="31"/>
  <c r="AI10" i="31"/>
  <c r="AI9" i="31"/>
  <c r="AI7" i="31"/>
  <c r="AI6" i="31"/>
  <c r="AI8" i="31"/>
  <c r="E65" i="30"/>
  <c r="F65" i="30"/>
  <c r="G65" i="30"/>
  <c r="H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D65" i="30"/>
  <c r="AH12" i="30"/>
  <c r="F12" i="30"/>
  <c r="G12" i="30"/>
  <c r="H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AD12" i="30"/>
  <c r="AE12" i="30"/>
  <c r="AF12" i="30"/>
  <c r="AG12" i="30"/>
  <c r="D12" i="30"/>
  <c r="AI58" i="30"/>
  <c r="AI57" i="30"/>
  <c r="AI56" i="30"/>
  <c r="AI55" i="30"/>
  <c r="AI54" i="30"/>
  <c r="AI53" i="30"/>
  <c r="AI64" i="30"/>
  <c r="AI63" i="30"/>
  <c r="AI62" i="30"/>
  <c r="AI61" i="30"/>
  <c r="AI60" i="30"/>
  <c r="AI59" i="30"/>
  <c r="AI52" i="30"/>
  <c r="AI51" i="30"/>
  <c r="AI50" i="30"/>
  <c r="AI49" i="30"/>
  <c r="AI48" i="30"/>
  <c r="AI47" i="30"/>
  <c r="AI40" i="30"/>
  <c r="AI39" i="30"/>
  <c r="AI38" i="30"/>
  <c r="AI37" i="30"/>
  <c r="AI36" i="30"/>
  <c r="AI35" i="30"/>
  <c r="AI28" i="30"/>
  <c r="AI27" i="30"/>
  <c r="AI26" i="30"/>
  <c r="AI25" i="30"/>
  <c r="AI24" i="30"/>
  <c r="AI23" i="30"/>
  <c r="AI34" i="30"/>
  <c r="AI33" i="30"/>
  <c r="AI32" i="30"/>
  <c r="AI31" i="30"/>
  <c r="AI30" i="30"/>
  <c r="AI29" i="30"/>
  <c r="AI46" i="30"/>
  <c r="AI45" i="30"/>
  <c r="AI44" i="30"/>
  <c r="AI43" i="30"/>
  <c r="AI42" i="30"/>
  <c r="AI41" i="30"/>
  <c r="AI22" i="30"/>
  <c r="AI21" i="30"/>
  <c r="AI20" i="30"/>
  <c r="AI19" i="30"/>
  <c r="AI18" i="30"/>
  <c r="AI17" i="30"/>
  <c r="E12" i="30"/>
  <c r="AI11" i="30"/>
  <c r="AI10" i="30"/>
  <c r="AI8" i="30"/>
  <c r="AI9" i="30"/>
  <c r="AI7" i="30"/>
  <c r="AI5" i="30"/>
  <c r="AI6" i="30"/>
  <c r="AI4" i="30"/>
  <c r="AI65" i="31" l="1"/>
  <c r="AI12" i="31"/>
  <c r="AJ59" i="31"/>
  <c r="AJ53" i="31"/>
  <c r="AJ41" i="31"/>
  <c r="AJ47" i="31"/>
  <c r="AJ17" i="31"/>
  <c r="AJ29" i="31"/>
  <c r="AJ35" i="31"/>
  <c r="AJ23" i="31"/>
  <c r="AJ59" i="30"/>
  <c r="AI65" i="30"/>
  <c r="AI12" i="30"/>
  <c r="AJ47" i="30"/>
  <c r="AJ23" i="30"/>
  <c r="AJ53" i="30"/>
  <c r="AJ29" i="30"/>
  <c r="AJ41" i="30"/>
  <c r="AJ17" i="30"/>
  <c r="AJ35" i="30"/>
  <c r="E72" i="29"/>
  <c r="F13" i="29"/>
  <c r="G13" i="29"/>
  <c r="H13" i="29"/>
  <c r="I13" i="29"/>
  <c r="J13" i="29"/>
  <c r="L13" i="29"/>
  <c r="M13" i="29"/>
  <c r="N13" i="29"/>
  <c r="O13" i="29"/>
  <c r="P13" i="29"/>
  <c r="Q13" i="29"/>
  <c r="S13" i="29"/>
  <c r="T13" i="29"/>
  <c r="U13" i="29"/>
  <c r="V13" i="29"/>
  <c r="W13" i="29"/>
  <c r="X13" i="29"/>
  <c r="Z13" i="29"/>
  <c r="AA13" i="29"/>
  <c r="AB13" i="29"/>
  <c r="AC13" i="29"/>
  <c r="AD13" i="29"/>
  <c r="AE13" i="29"/>
  <c r="AG13" i="29"/>
  <c r="E13" i="29"/>
  <c r="AJ65" i="31" l="1"/>
  <c r="AJ65" i="30"/>
  <c r="AH13" i="29"/>
  <c r="F72" i="29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W72" i="29"/>
  <c r="X72" i="29"/>
  <c r="Y72" i="29"/>
  <c r="Z72" i="29"/>
  <c r="AA72" i="29"/>
  <c r="AB72" i="29"/>
  <c r="AC72" i="29"/>
  <c r="AD72" i="29"/>
  <c r="AE72" i="29"/>
  <c r="AF72" i="29"/>
  <c r="AG72" i="29"/>
  <c r="AH53" i="29" l="1"/>
  <c r="AH52" i="29"/>
  <c r="AH51" i="29"/>
  <c r="AH50" i="29"/>
  <c r="AH49" i="29"/>
  <c r="AH48" i="29"/>
  <c r="AH59" i="29"/>
  <c r="AH58" i="29"/>
  <c r="AH57" i="29"/>
  <c r="AH56" i="29"/>
  <c r="AH55" i="29"/>
  <c r="AH54" i="29"/>
  <c r="AH35" i="29"/>
  <c r="AH34" i="29"/>
  <c r="AH33" i="29"/>
  <c r="AH32" i="29"/>
  <c r="AH31" i="29"/>
  <c r="AH30" i="29"/>
  <c r="AH65" i="29"/>
  <c r="AH64" i="29"/>
  <c r="AH63" i="29"/>
  <c r="AH62" i="29"/>
  <c r="AH61" i="29"/>
  <c r="AH60" i="29"/>
  <c r="AH47" i="29"/>
  <c r="AH46" i="29"/>
  <c r="AH45" i="29"/>
  <c r="AH44" i="29"/>
  <c r="AH43" i="29"/>
  <c r="AH42" i="29"/>
  <c r="AH41" i="29"/>
  <c r="AH40" i="29"/>
  <c r="AH39" i="29"/>
  <c r="AH38" i="29"/>
  <c r="AH37" i="29"/>
  <c r="AH36" i="29"/>
  <c r="AH71" i="29"/>
  <c r="AH70" i="29"/>
  <c r="AH69" i="29"/>
  <c r="AH68" i="29"/>
  <c r="AH67" i="29"/>
  <c r="AH66" i="29"/>
  <c r="AH29" i="29"/>
  <c r="AH28" i="29"/>
  <c r="AH27" i="29"/>
  <c r="AH26" i="29"/>
  <c r="AH25" i="29"/>
  <c r="AH24" i="29"/>
  <c r="AH23" i="29"/>
  <c r="AH22" i="29"/>
  <c r="AH21" i="29"/>
  <c r="AH20" i="29"/>
  <c r="AH19" i="29"/>
  <c r="AH18" i="29"/>
  <c r="AH7" i="29"/>
  <c r="AH8" i="29"/>
  <c r="AH11" i="29"/>
  <c r="AH10" i="29"/>
  <c r="AH9" i="29"/>
  <c r="AH12" i="29"/>
  <c r="AH4" i="29"/>
  <c r="AH5" i="29"/>
  <c r="AH6" i="29"/>
  <c r="AH72" i="29" l="1"/>
  <c r="AI60" i="29"/>
  <c r="AI42" i="29"/>
  <c r="AI48" i="29"/>
  <c r="AI36" i="29"/>
  <c r="AI30" i="29"/>
  <c r="AI54" i="29"/>
  <c r="AI18" i="29"/>
  <c r="AI66" i="29"/>
  <c r="AI24" i="29"/>
  <c r="E54" i="28"/>
  <c r="E36" i="28"/>
  <c r="AI72" i="29" l="1"/>
  <c r="E72" i="28"/>
  <c r="E13" i="28"/>
  <c r="F13" i="28"/>
  <c r="H13" i="28"/>
  <c r="I13" i="28"/>
  <c r="J13" i="28"/>
  <c r="K13" i="28"/>
  <c r="L13" i="28"/>
  <c r="M13" i="28"/>
  <c r="O13" i="28"/>
  <c r="P13" i="28"/>
  <c r="Q13" i="28"/>
  <c r="R13" i="28"/>
  <c r="S13" i="28"/>
  <c r="T13" i="28"/>
  <c r="V13" i="28"/>
  <c r="W13" i="28"/>
  <c r="X13" i="28"/>
  <c r="Y13" i="28"/>
  <c r="Z13" i="28"/>
  <c r="AA13" i="28"/>
  <c r="AC13" i="28"/>
  <c r="AD13" i="28"/>
  <c r="AE13" i="28"/>
  <c r="AF13" i="28"/>
  <c r="AG13" i="28"/>
  <c r="AH13" i="28"/>
  <c r="H72" i="28"/>
  <c r="I72" i="28"/>
  <c r="J72" i="28"/>
  <c r="K72" i="28"/>
  <c r="L72" i="28"/>
  <c r="M72" i="28"/>
  <c r="O72" i="28"/>
  <c r="P72" i="28"/>
  <c r="Q72" i="28"/>
  <c r="R72" i="28"/>
  <c r="S72" i="28"/>
  <c r="T72" i="28"/>
  <c r="V72" i="28"/>
  <c r="W72" i="28"/>
  <c r="X72" i="28"/>
  <c r="Y72" i="28"/>
  <c r="Z72" i="28"/>
  <c r="AA72" i="28"/>
  <c r="AC72" i="28"/>
  <c r="AD72" i="28"/>
  <c r="AE72" i="28"/>
  <c r="AF72" i="28"/>
  <c r="AG72" i="28"/>
  <c r="AH72" i="28"/>
  <c r="F72" i="28"/>
  <c r="D72" i="28"/>
  <c r="AI71" i="28"/>
  <c r="AI70" i="28"/>
  <c r="AI69" i="28"/>
  <c r="AI68" i="28"/>
  <c r="AI67" i="28"/>
  <c r="AI66" i="28"/>
  <c r="AI65" i="28"/>
  <c r="AI64" i="28"/>
  <c r="AI63" i="28"/>
  <c r="AI62" i="28"/>
  <c r="AI61" i="28"/>
  <c r="AI60" i="28"/>
  <c r="AI59" i="28"/>
  <c r="AI58" i="28"/>
  <c r="AI57" i="28"/>
  <c r="AI56" i="28"/>
  <c r="AI55" i="28"/>
  <c r="AI54" i="28"/>
  <c r="AI53" i="28"/>
  <c r="AI52" i="28"/>
  <c r="AI51" i="28"/>
  <c r="AI50" i="28"/>
  <c r="AI49" i="28"/>
  <c r="AI48" i="28"/>
  <c r="AI47" i="28"/>
  <c r="AI46" i="28"/>
  <c r="AI45" i="28"/>
  <c r="AI44" i="28"/>
  <c r="AI43" i="28"/>
  <c r="AI42" i="28"/>
  <c r="AI41" i="28"/>
  <c r="AI40" i="28"/>
  <c r="AI39" i="28"/>
  <c r="AI38" i="28"/>
  <c r="AI37" i="28"/>
  <c r="AI36" i="28"/>
  <c r="AI29" i="28"/>
  <c r="AI28" i="28"/>
  <c r="AI27" i="28"/>
  <c r="AI26" i="28"/>
  <c r="AI25" i="28"/>
  <c r="AI24" i="28"/>
  <c r="AI35" i="28"/>
  <c r="AI34" i="28"/>
  <c r="AI33" i="28"/>
  <c r="AI32" i="28"/>
  <c r="AI31" i="28"/>
  <c r="AI30" i="28"/>
  <c r="AI23" i="28"/>
  <c r="AI22" i="28"/>
  <c r="AI21" i="28"/>
  <c r="AI20" i="28"/>
  <c r="AI19" i="28"/>
  <c r="AI18" i="28"/>
  <c r="D13" i="28"/>
  <c r="AI4" i="28"/>
  <c r="AI7" i="28"/>
  <c r="AI8" i="28"/>
  <c r="AI10" i="28"/>
  <c r="AI9" i="28"/>
  <c r="AI5" i="28"/>
  <c r="AI11" i="28"/>
  <c r="AI6" i="28"/>
  <c r="AI12" i="28"/>
  <c r="AI72" i="28" l="1"/>
  <c r="AJ54" i="28"/>
  <c r="AJ24" i="28"/>
  <c r="AJ66" i="28"/>
  <c r="AJ30" i="28"/>
  <c r="AJ36" i="28"/>
  <c r="AJ48" i="28"/>
  <c r="AJ60" i="28"/>
  <c r="AI13" i="28"/>
  <c r="AJ42" i="28"/>
  <c r="AJ18" i="28"/>
  <c r="AJ72" i="28" l="1"/>
  <c r="E72" i="27" l="1"/>
  <c r="F72" i="27"/>
  <c r="G72" i="27"/>
  <c r="H72" i="27"/>
  <c r="J72" i="27"/>
  <c r="K72" i="27"/>
  <c r="L72" i="27"/>
  <c r="M72" i="27"/>
  <c r="N72" i="27"/>
  <c r="O72" i="27"/>
  <c r="Q72" i="27"/>
  <c r="R72" i="27"/>
  <c r="S72" i="27"/>
  <c r="T72" i="27"/>
  <c r="U72" i="27"/>
  <c r="V72" i="27"/>
  <c r="X72" i="27"/>
  <c r="Y72" i="27"/>
  <c r="Z72" i="27"/>
  <c r="AA72" i="27"/>
  <c r="AB72" i="27"/>
  <c r="AC72" i="27"/>
  <c r="AE72" i="27"/>
  <c r="AF72" i="27"/>
  <c r="AG72" i="27"/>
  <c r="E13" i="27"/>
  <c r="F13" i="27"/>
  <c r="G13" i="27"/>
  <c r="H13" i="27"/>
  <c r="J13" i="27"/>
  <c r="K13" i="27"/>
  <c r="L13" i="27"/>
  <c r="M13" i="27"/>
  <c r="N13" i="27"/>
  <c r="O13" i="27"/>
  <c r="Q13" i="27"/>
  <c r="R13" i="27"/>
  <c r="S13" i="27"/>
  <c r="T13" i="27"/>
  <c r="U13" i="27"/>
  <c r="V13" i="27"/>
  <c r="X13" i="27"/>
  <c r="Y13" i="27"/>
  <c r="Z13" i="27"/>
  <c r="AA13" i="27"/>
  <c r="AB13" i="27"/>
  <c r="AC13" i="27"/>
  <c r="AE13" i="27"/>
  <c r="AF13" i="27"/>
  <c r="AG13" i="27"/>
  <c r="D72" i="27"/>
  <c r="AH53" i="27"/>
  <c r="AH52" i="27"/>
  <c r="AH51" i="27"/>
  <c r="AH50" i="27"/>
  <c r="AH49" i="27"/>
  <c r="AH48" i="27"/>
  <c r="AH71" i="27"/>
  <c r="AH70" i="27"/>
  <c r="AH69" i="27"/>
  <c r="AH68" i="27"/>
  <c r="AH67" i="27"/>
  <c r="AH66" i="27"/>
  <c r="AH47" i="27"/>
  <c r="AH46" i="27"/>
  <c r="AH45" i="27"/>
  <c r="AH44" i="27"/>
  <c r="AH43" i="27"/>
  <c r="AH42" i="27"/>
  <c r="AH65" i="27"/>
  <c r="AH64" i="27"/>
  <c r="AH63" i="27"/>
  <c r="AH62" i="27"/>
  <c r="AH61" i="27"/>
  <c r="AH60" i="27"/>
  <c r="AH59" i="27"/>
  <c r="AH58" i="27"/>
  <c r="AH57" i="27"/>
  <c r="AH56" i="27"/>
  <c r="AH55" i="27"/>
  <c r="AH54" i="27"/>
  <c r="AH41" i="27"/>
  <c r="AH40" i="27"/>
  <c r="AH39" i="27"/>
  <c r="AH38" i="27"/>
  <c r="AH37" i="27"/>
  <c r="AH36" i="27"/>
  <c r="AH29" i="27"/>
  <c r="AH28" i="27"/>
  <c r="AH27" i="27"/>
  <c r="AH26" i="27"/>
  <c r="AH25" i="27"/>
  <c r="AH24" i="27"/>
  <c r="AH35" i="27"/>
  <c r="AH34" i="27"/>
  <c r="AH33" i="27"/>
  <c r="AH32" i="27"/>
  <c r="AH31" i="27"/>
  <c r="AH30" i="27"/>
  <c r="AH23" i="27"/>
  <c r="AH22" i="27"/>
  <c r="AH21" i="27"/>
  <c r="AH20" i="27"/>
  <c r="AH19" i="27"/>
  <c r="AH18" i="27"/>
  <c r="D13" i="27"/>
  <c r="AH11" i="27"/>
  <c r="AH10" i="27"/>
  <c r="AH8" i="27"/>
  <c r="AH9" i="27"/>
  <c r="AH12" i="27"/>
  <c r="AH7" i="27"/>
  <c r="AH4" i="27"/>
  <c r="AH6" i="27"/>
  <c r="AH5" i="27"/>
  <c r="AI60" i="27" l="1"/>
  <c r="AI48" i="27"/>
  <c r="AH72" i="27"/>
  <c r="AI36" i="27"/>
  <c r="AI54" i="27"/>
  <c r="AI24" i="27"/>
  <c r="AI66" i="27"/>
  <c r="AI30" i="27"/>
  <c r="AI42" i="27"/>
  <c r="AH13" i="27"/>
  <c r="AI18" i="27"/>
  <c r="AD54" i="26"/>
  <c r="AI72" i="27" l="1"/>
  <c r="AI9" i="26"/>
  <c r="J30" i="26" l="1"/>
  <c r="F72" i="26" l="1"/>
  <c r="G72" i="26"/>
  <c r="H72" i="26"/>
  <c r="I72" i="26"/>
  <c r="J72" i="26"/>
  <c r="K72" i="26"/>
  <c r="M72" i="26"/>
  <c r="N72" i="26"/>
  <c r="O72" i="26"/>
  <c r="P72" i="26"/>
  <c r="Q72" i="26"/>
  <c r="R72" i="26"/>
  <c r="T72" i="26"/>
  <c r="U72" i="26"/>
  <c r="V72" i="26"/>
  <c r="W72" i="26"/>
  <c r="X72" i="26"/>
  <c r="Y72" i="26"/>
  <c r="AA72" i="26"/>
  <c r="AB72" i="26"/>
  <c r="AC72" i="26"/>
  <c r="AD72" i="26"/>
  <c r="AE72" i="26"/>
  <c r="AF72" i="26"/>
  <c r="AH72" i="26"/>
  <c r="F13" i="26"/>
  <c r="G13" i="26"/>
  <c r="H13" i="26"/>
  <c r="I13" i="26"/>
  <c r="J13" i="26"/>
  <c r="K13" i="26"/>
  <c r="M13" i="26"/>
  <c r="N13" i="26"/>
  <c r="O13" i="26"/>
  <c r="P13" i="26"/>
  <c r="Q13" i="26"/>
  <c r="R13" i="26"/>
  <c r="T13" i="26"/>
  <c r="U13" i="26"/>
  <c r="V13" i="26"/>
  <c r="W13" i="26"/>
  <c r="X13" i="26"/>
  <c r="Y13" i="26"/>
  <c r="AA13" i="26"/>
  <c r="AB13" i="26"/>
  <c r="AC13" i="26"/>
  <c r="AD13" i="26"/>
  <c r="AE13" i="26"/>
  <c r="AF13" i="26"/>
  <c r="AH13" i="26"/>
  <c r="D72" i="26"/>
  <c r="AI47" i="26"/>
  <c r="AI46" i="26"/>
  <c r="AI45" i="26"/>
  <c r="AI44" i="26"/>
  <c r="AI43" i="26"/>
  <c r="AI42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71" i="26"/>
  <c r="AI70" i="26"/>
  <c r="AI69" i="26"/>
  <c r="AI68" i="26"/>
  <c r="AI67" i="26"/>
  <c r="AI66" i="26"/>
  <c r="AI29" i="26"/>
  <c r="AI28" i="26"/>
  <c r="AI27" i="26"/>
  <c r="AI26" i="26"/>
  <c r="AI25" i="26"/>
  <c r="AI24" i="26"/>
  <c r="AI41" i="26"/>
  <c r="AI40" i="26"/>
  <c r="AI39" i="26"/>
  <c r="AI38" i="26"/>
  <c r="AI37" i="26"/>
  <c r="AI36" i="26"/>
  <c r="AI35" i="26"/>
  <c r="AI34" i="26"/>
  <c r="AI33" i="26"/>
  <c r="AI32" i="26"/>
  <c r="AI31" i="26"/>
  <c r="AI30" i="26"/>
  <c r="AI23" i="26"/>
  <c r="AI22" i="26"/>
  <c r="AI21" i="26"/>
  <c r="AI20" i="26"/>
  <c r="AI19" i="26"/>
  <c r="AI18" i="26"/>
  <c r="D13" i="26"/>
  <c r="AI12" i="26"/>
  <c r="AI11" i="26"/>
  <c r="AI8" i="26"/>
  <c r="AI10" i="26"/>
  <c r="AI7" i="26"/>
  <c r="AI5" i="26"/>
  <c r="AI4" i="26"/>
  <c r="AI6" i="26"/>
  <c r="AI13" i="26" l="1"/>
  <c r="AJ42" i="26"/>
  <c r="AI72" i="26"/>
  <c r="AJ60" i="26"/>
  <c r="AJ66" i="26"/>
  <c r="AJ36" i="26"/>
  <c r="AJ54" i="26"/>
  <c r="AJ18" i="26"/>
  <c r="AJ24" i="26"/>
  <c r="AJ30" i="26"/>
  <c r="AJ48" i="26"/>
  <c r="AJ72" i="26" l="1"/>
  <c r="Q46" i="25" l="1"/>
  <c r="AF43" i="25" l="1"/>
  <c r="AF44" i="25"/>
  <c r="AF45" i="25"/>
  <c r="AF61" i="25"/>
  <c r="AF62" i="25"/>
  <c r="AF63" i="25"/>
  <c r="AF31" i="25"/>
  <c r="AF32" i="25"/>
  <c r="AF33" i="25"/>
  <c r="AF55" i="25"/>
  <c r="AF56" i="25"/>
  <c r="AF57" i="25"/>
  <c r="AF68" i="25"/>
  <c r="AF69" i="25"/>
  <c r="AF19" i="25"/>
  <c r="AF20" i="25"/>
  <c r="AF21" i="25"/>
  <c r="AF49" i="25"/>
  <c r="AF50" i="25"/>
  <c r="AF51" i="25"/>
  <c r="AF25" i="25"/>
  <c r="AF26" i="25"/>
  <c r="AF27" i="25"/>
  <c r="AF37" i="25"/>
  <c r="AF38" i="25"/>
  <c r="AF39" i="25"/>
  <c r="AE72" i="25"/>
  <c r="AD72" i="25"/>
  <c r="AC72" i="25"/>
  <c r="AB72" i="25"/>
  <c r="AA72" i="25"/>
  <c r="Y72" i="25"/>
  <c r="X72" i="25"/>
  <c r="W72" i="25"/>
  <c r="V72" i="25"/>
  <c r="U72" i="25"/>
  <c r="T72" i="25"/>
  <c r="R72" i="25"/>
  <c r="Q72" i="25"/>
  <c r="P72" i="25"/>
  <c r="O72" i="25"/>
  <c r="N72" i="25"/>
  <c r="M72" i="25"/>
  <c r="K72" i="25"/>
  <c r="J72" i="25"/>
  <c r="I72" i="25"/>
  <c r="H72" i="25"/>
  <c r="G72" i="25"/>
  <c r="F72" i="25"/>
  <c r="D72" i="25"/>
  <c r="AF47" i="25"/>
  <c r="AF46" i="25"/>
  <c r="AF42" i="25"/>
  <c r="AF65" i="25"/>
  <c r="AF64" i="25"/>
  <c r="AF60" i="25"/>
  <c r="AF35" i="25"/>
  <c r="AF34" i="25"/>
  <c r="AF30" i="25"/>
  <c r="AF59" i="25"/>
  <c r="AF58" i="25"/>
  <c r="AF54" i="25"/>
  <c r="AF71" i="25"/>
  <c r="AF70" i="25"/>
  <c r="AF66" i="25"/>
  <c r="AF23" i="25"/>
  <c r="AF22" i="25"/>
  <c r="AF18" i="25"/>
  <c r="AF53" i="25"/>
  <c r="AF52" i="25"/>
  <c r="AF48" i="25"/>
  <c r="AF29" i="25"/>
  <c r="AF28" i="25"/>
  <c r="AF24" i="25"/>
  <c r="AF41" i="25"/>
  <c r="AF40" i="25"/>
  <c r="AF36" i="25"/>
  <c r="AE13" i="25"/>
  <c r="AD13" i="25"/>
  <c r="AC13" i="25"/>
  <c r="AB13" i="25"/>
  <c r="AA13" i="25"/>
  <c r="Y13" i="25"/>
  <c r="X13" i="25"/>
  <c r="W13" i="25"/>
  <c r="V13" i="25"/>
  <c r="U13" i="25"/>
  <c r="T13" i="25"/>
  <c r="R13" i="25"/>
  <c r="Q13" i="25"/>
  <c r="P13" i="25"/>
  <c r="O13" i="25"/>
  <c r="N13" i="25"/>
  <c r="M13" i="25"/>
  <c r="K13" i="25"/>
  <c r="J13" i="25"/>
  <c r="I13" i="25"/>
  <c r="H13" i="25"/>
  <c r="G13" i="25"/>
  <c r="F13" i="25"/>
  <c r="D13" i="25"/>
  <c r="AF12" i="25"/>
  <c r="AF11" i="25"/>
  <c r="AF10" i="25"/>
  <c r="AF9" i="25"/>
  <c r="AF8" i="25"/>
  <c r="AF7" i="25"/>
  <c r="AF4" i="25"/>
  <c r="AF6" i="25"/>
  <c r="AF5" i="25"/>
  <c r="AF13" i="25" l="1"/>
  <c r="AG42" i="25"/>
  <c r="AG30" i="25"/>
  <c r="AG66" i="25"/>
  <c r="AG60" i="25"/>
  <c r="AG24" i="25"/>
  <c r="AG18" i="25"/>
  <c r="AF72" i="25"/>
  <c r="AG48" i="25"/>
  <c r="AG54" i="25"/>
  <c r="AG36" i="25"/>
  <c r="D17" i="24"/>
  <c r="E17" i="24"/>
  <c r="F17" i="24"/>
  <c r="G17" i="24"/>
  <c r="H17" i="24"/>
  <c r="I17" i="24"/>
  <c r="J17" i="24"/>
  <c r="K17" i="24"/>
  <c r="L17" i="24"/>
  <c r="M17" i="24"/>
  <c r="N17" i="24"/>
  <c r="O17" i="24"/>
  <c r="P17" i="24"/>
  <c r="Q17" i="24"/>
  <c r="R17" i="24"/>
  <c r="S17" i="24"/>
  <c r="T17" i="24"/>
  <c r="U17" i="24"/>
  <c r="V17" i="24"/>
  <c r="W17" i="24"/>
  <c r="X17" i="24"/>
  <c r="Y17" i="24"/>
  <c r="Z17" i="24"/>
  <c r="AA17" i="24"/>
  <c r="AB17" i="24"/>
  <c r="AC17" i="24"/>
  <c r="AD17" i="24"/>
  <c r="AE17" i="24"/>
  <c r="AF17" i="24"/>
  <c r="AG17" i="24"/>
  <c r="C17" i="24"/>
  <c r="AG72" i="25" l="1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C61" i="24" l="1"/>
  <c r="AH57" i="24"/>
  <c r="AH56" i="24"/>
  <c r="AH55" i="24"/>
  <c r="AH51" i="24"/>
  <c r="AH50" i="24"/>
  <c r="AH49" i="24"/>
  <c r="AH48" i="24"/>
  <c r="AH47" i="24"/>
  <c r="AH46" i="24"/>
  <c r="AH60" i="24"/>
  <c r="AH59" i="24"/>
  <c r="AH58" i="24"/>
  <c r="AH42" i="24"/>
  <c r="AH41" i="24"/>
  <c r="AH40" i="24"/>
  <c r="AH33" i="24"/>
  <c r="AH32" i="24"/>
  <c r="AH31" i="24"/>
  <c r="AH36" i="24"/>
  <c r="AH35" i="24"/>
  <c r="AH34" i="24"/>
  <c r="AH39" i="24"/>
  <c r="AH38" i="24"/>
  <c r="AH37" i="24"/>
  <c r="AH30" i="24"/>
  <c r="AH29" i="24"/>
  <c r="AH28" i="24"/>
  <c r="AH45" i="24"/>
  <c r="AH44" i="24"/>
  <c r="AH43" i="24"/>
  <c r="AH54" i="24"/>
  <c r="AH53" i="24"/>
  <c r="AH52" i="24"/>
  <c r="AH27" i="24"/>
  <c r="AH26" i="24"/>
  <c r="AH25" i="24"/>
  <c r="AH24" i="24"/>
  <c r="AH23" i="24"/>
  <c r="AH22" i="24"/>
  <c r="AH15" i="24"/>
  <c r="AH16" i="24"/>
  <c r="AH14" i="24"/>
  <c r="AH12" i="24"/>
  <c r="AH9" i="24"/>
  <c r="AH7" i="24"/>
  <c r="AH11" i="24"/>
  <c r="AH6" i="24"/>
  <c r="AH10" i="24"/>
  <c r="AH4" i="24"/>
  <c r="AH8" i="24"/>
  <c r="AH13" i="24"/>
  <c r="AH5" i="24"/>
  <c r="AH61" i="24" l="1"/>
  <c r="AI34" i="24"/>
  <c r="AI43" i="24"/>
  <c r="AI22" i="24"/>
  <c r="AI37" i="24"/>
  <c r="AI40" i="24"/>
  <c r="AI55" i="24"/>
  <c r="AI28" i="24"/>
  <c r="AI58" i="24"/>
  <c r="AI49" i="24"/>
  <c r="AI52" i="24"/>
  <c r="AI31" i="24"/>
  <c r="AI46" i="24"/>
  <c r="AH17" i="24"/>
  <c r="AI25" i="24"/>
  <c r="AI61" i="24" l="1"/>
</calcChain>
</file>

<file path=xl/sharedStrings.xml><?xml version="1.0" encoding="utf-8"?>
<sst xmlns="http://schemas.openxmlformats.org/spreadsheetml/2006/main" count="11680" uniqueCount="90">
  <si>
    <t>Colaborador</t>
  </si>
  <si>
    <t>Total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</si>
  <si>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</si>
  <si>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</si>
  <si>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</si>
  <si>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</si>
  <si>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</si>
  <si>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</si>
  <si>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</si>
  <si>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FO</t>
  </si>
  <si>
    <t>FE</t>
  </si>
  <si>
    <t>FÉRIAS</t>
  </si>
  <si>
    <t>FOLGA</t>
  </si>
  <si>
    <t>AT</t>
  </si>
  <si>
    <t>ATESTADO MÉDICO</t>
  </si>
  <si>
    <t>IN</t>
  </si>
  <si>
    <t>TRABALHO INTERNO (INFRAESTRUTURA / CONFIGURAÇÕES / CURSOS)</t>
  </si>
  <si>
    <t>Assunto</t>
  </si>
  <si>
    <t>OS</t>
  </si>
  <si>
    <t>Atendimentos abertos</t>
  </si>
  <si>
    <t>Atendimentos solucionados</t>
  </si>
  <si>
    <t>Bruna</t>
  </si>
  <si>
    <t>Isabella</t>
  </si>
  <si>
    <t>Heloisa</t>
  </si>
  <si>
    <t>Julia</t>
  </si>
  <si>
    <t>Nathália</t>
  </si>
  <si>
    <t>Mylene</t>
  </si>
  <si>
    <t>Total do Colaborador</t>
  </si>
  <si>
    <t>Total por Assunto</t>
  </si>
  <si>
    <t>-</t>
  </si>
  <si>
    <t>AM</t>
  </si>
  <si>
    <t>Ana Caroline</t>
  </si>
  <si>
    <t>Xaiane</t>
  </si>
  <si>
    <t>Ana Caroline Rocha</t>
  </si>
  <si>
    <t>Anatercia</t>
  </si>
  <si>
    <t>Lucas Bastos</t>
  </si>
  <si>
    <t>Beatriz</t>
  </si>
  <si>
    <t>DE</t>
  </si>
  <si>
    <t>Caroline</t>
  </si>
  <si>
    <t>Maria Clara</t>
  </si>
  <si>
    <t>ATENDIMENTOS OPA - JANEIRO 2025 - Financeiro</t>
  </si>
  <si>
    <t>IXC - JANEIRO 2025 - Financeiro</t>
  </si>
  <si>
    <t xml:space="preserve">Bruna </t>
  </si>
  <si>
    <t>ATENDIMENTOS OPA - FEVEREIRO 2025 - Financeiro</t>
  </si>
  <si>
    <t>IXC - FEVEREIRO 2025 - Financeiro</t>
  </si>
  <si>
    <t>Atendimentos</t>
  </si>
  <si>
    <t>Abertos</t>
  </si>
  <si>
    <t>Solucionados</t>
  </si>
  <si>
    <t>Renegociação / Realizar Ligação</t>
  </si>
  <si>
    <t>Finalização de Contrato</t>
  </si>
  <si>
    <t>Cobrança</t>
  </si>
  <si>
    <t>Outras O.S.</t>
  </si>
  <si>
    <t>Caroline Machado</t>
  </si>
  <si>
    <t>ATENDIMENTOS OPA - MARÇO 2025 - Financeiro</t>
  </si>
  <si>
    <t>IXC - MARÇO 2025 - Financeiro</t>
  </si>
  <si>
    <t>FA</t>
  </si>
  <si>
    <t>FALTA</t>
  </si>
  <si>
    <t>ATENDIMENTOS OPA - ABRIL 2025 - Financeiro</t>
  </si>
  <si>
    <t>IXC - ABRIL 2025 - Financeiro</t>
  </si>
  <si>
    <t>ATENDIMENTOS OPA - MAIO 2025 - Financeiro</t>
  </si>
  <si>
    <t>IXC - MAIO  2025 - Financeiro</t>
  </si>
  <si>
    <t>Ana Caroline (FÉRIAS)</t>
  </si>
  <si>
    <t>,</t>
  </si>
  <si>
    <t>ATENDIMENTOS OPA - JUNHO 2025 - Financeiro</t>
  </si>
  <si>
    <t>IXC - JUNHO  2025 - Financeiro</t>
  </si>
  <si>
    <t xml:space="preserve">Ana Caroline </t>
  </si>
  <si>
    <t>IXC - JULHO  2025 - Financeiro</t>
  </si>
  <si>
    <t>ATENDIMENTOS OPA - JULHO 2025 - Financeiro</t>
  </si>
  <si>
    <t>IXC - AGOSTO 2025 - Financeiro</t>
  </si>
  <si>
    <t>ATENDIMENTOS OPA - SETEMBRO 2025 - Financeiro</t>
  </si>
  <si>
    <t>IXC - SETEMBRO 2025 - Financeiro</t>
  </si>
  <si>
    <t>ATENDIMENTOS OPA - AGOSTO 2025 - Financeiro - Grupo 1</t>
  </si>
  <si>
    <t>Luana</t>
  </si>
  <si>
    <t>Laura</t>
  </si>
  <si>
    <t>TR</t>
  </si>
  <si>
    <t>ATENDIMENTOS OPA - OUTUBRO 2025 - Financeiro</t>
  </si>
  <si>
    <t>Juliana Bartholo</t>
  </si>
  <si>
    <t>IXC - OUTUBRO 2025 - Financeiro</t>
  </si>
  <si>
    <t>ATENDIMENTOS OPA - NOVEMBRO 2025 - Financeiro</t>
  </si>
  <si>
    <t>IXC - NOVEMBRO 2025 - Financeiro</t>
  </si>
  <si>
    <t>Camille Victória</t>
  </si>
  <si>
    <t>Camille de Oliveira</t>
  </si>
  <si>
    <t>ATENDIMENTOS OPA - DEZEMBRO 2025 -  Financeiro</t>
  </si>
  <si>
    <t>IXC - DEZEMBRO 2025 - Financeiro</t>
  </si>
  <si>
    <t>Camille Victória dos Santos Eleotério</t>
  </si>
  <si>
    <t>Camille Victória dos Santos Eleutério</t>
  </si>
  <si>
    <t>Camille de Oliveira Guimarães</t>
  </si>
  <si>
    <t>ATENDIMENTOS OPA - JANEIRO 2026  -  Financeiro</t>
  </si>
  <si>
    <t>IXC JANEIRO 2026 - Financeiro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</si>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</sst>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sz val="10"/>
      <name val="Times New Roman"/>
      <family val="1"/>
    </font>
    <font>
      <sz val="8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7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 textRotation="90" wrapText="1"/>
    </xf>
    <xf numFmtId="164" fontId="2" fillId="3" borderId="5" xfId="0" applyNumberFormat="1" applyFont="1" applyFill="1" applyBorder="1" applyAlignment="1">
      <alignment horizontal="center" vertical="center" textRotation="90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4" fontId="2" fillId="3" borderId="33" xfId="0" applyNumberFormat="1" applyFont="1" applyFill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/>
    </xf>
    <xf numFmtId="0" fontId="2" fillId="7" borderId="71" xfId="0" applyFont="1" applyFill="1" applyBorder="1" applyAlignment="1">
      <alignment horizontal="center" vertical="center"/>
    </xf>
    <xf numFmtId="164" fontId="2" fillId="3" borderId="38" xfId="0" applyNumberFormat="1" applyFont="1" applyFill="1" applyBorder="1" applyAlignment="1">
      <alignment horizontal="center" vertical="center" textRotation="90" wrapText="1"/>
    </xf>
    <xf numFmtId="164" fontId="2" fillId="3" borderId="11" xfId="0" applyNumberFormat="1" applyFont="1" applyFill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textRotation="90" wrapText="1"/>
    </xf>
    <xf numFmtId="0" fontId="2" fillId="3" borderId="24" xfId="0" applyFont="1" applyFill="1" applyBorder="1" applyAlignment="1">
      <alignment horizontal="center" vertical="center" textRotation="90" wrapText="1"/>
    </xf>
    <xf numFmtId="0" fontId="2" fillId="3" borderId="25" xfId="0" applyFont="1" applyFill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 textRotation="90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17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18" xfId="0" applyFont="1" applyBorder="1" applyAlignment="1">
      <alignment horizontal="center" vertical="center" textRotation="90" wrapText="1"/>
    </xf>
    <xf numFmtId="164" fontId="2" fillId="0" borderId="13" xfId="0" applyNumberFormat="1" applyFont="1" applyBorder="1" applyAlignment="1">
      <alignment horizontal="center" vertical="center" textRotation="90" wrapText="1"/>
    </xf>
    <xf numFmtId="164" fontId="2" fillId="0" borderId="18" xfId="0" applyNumberFormat="1" applyFont="1" applyBorder="1" applyAlignment="1">
      <alignment horizontal="center" vertical="center" textRotation="90" wrapText="1"/>
    </xf>
    <xf numFmtId="164" fontId="2" fillId="0" borderId="19" xfId="0" applyNumberFormat="1" applyFont="1" applyBorder="1" applyAlignment="1">
      <alignment horizontal="center" vertical="center" textRotation="90" wrapText="1"/>
    </xf>
    <xf numFmtId="164" fontId="2" fillId="0" borderId="20" xfId="0" applyNumberFormat="1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textRotation="90" wrapText="1"/>
    </xf>
    <xf numFmtId="0" fontId="2" fillId="3" borderId="41" xfId="0" applyFont="1" applyFill="1" applyBorder="1" applyAlignment="1">
      <alignment horizontal="center" vertical="center" textRotation="90" wrapText="1"/>
    </xf>
    <xf numFmtId="0" fontId="2" fillId="0" borderId="42" xfId="0" applyFont="1" applyBorder="1" applyAlignment="1">
      <alignment horizontal="center" vertical="center" wrapText="1"/>
    </xf>
    <xf numFmtId="0" fontId="2" fillId="3" borderId="43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 textRotation="90" wrapText="1"/>
    </xf>
    <xf numFmtId="164" fontId="2" fillId="0" borderId="22" xfId="0" applyNumberFormat="1" applyFont="1" applyBorder="1" applyAlignment="1">
      <alignment horizontal="center" vertical="center" textRotation="90" wrapText="1"/>
    </xf>
    <xf numFmtId="164" fontId="2" fillId="0" borderId="21" xfId="0" applyNumberFormat="1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2" fillId="5" borderId="66" xfId="0" applyFont="1" applyFill="1" applyBorder="1" applyAlignment="1">
      <alignment horizontal="center" vertical="center"/>
    </xf>
    <xf numFmtId="0" fontId="2" fillId="5" borderId="67" xfId="0" applyFont="1" applyFill="1" applyBorder="1" applyAlignment="1">
      <alignment horizontal="center" vertical="center"/>
    </xf>
    <xf numFmtId="0" fontId="2" fillId="5" borderId="68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'NOVEMBRO 2025'!$B$18:$B$19</c:f>
              <c:strCache>
                <c:ptCount val="2"/>
                <c:pt idx="0">
                  <c:v>IXC - NOVEMBRO 2025 - Financeiro</c:v>
                </c:pt>
                <c:pt idx="1">
                  <c:v>Assunto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2025'!$B$20:$B$93</c:f>
              <c:numCache>
                <c:formatCode>General</c:formatCode>
                <c:ptCount val="74"/>
                <c:pt idx="1">
                  <c:v>0</c:v>
                </c:pt>
                <c:pt idx="5">
                  <c:v>0</c:v>
                </c:pt>
                <c:pt idx="7">
                  <c:v>0</c:v>
                </c:pt>
                <c:pt idx="11">
                  <c:v>0</c:v>
                </c:pt>
                <c:pt idx="13">
                  <c:v>0</c:v>
                </c:pt>
                <c:pt idx="17">
                  <c:v>0</c:v>
                </c:pt>
                <c:pt idx="19">
                  <c:v>0</c:v>
                </c:pt>
                <c:pt idx="23">
                  <c:v>0</c:v>
                </c:pt>
                <c:pt idx="25">
                  <c:v>0</c:v>
                </c:pt>
                <c:pt idx="29">
                  <c:v>0</c:v>
                </c:pt>
                <c:pt idx="31">
                  <c:v>0</c:v>
                </c:pt>
                <c:pt idx="35">
                  <c:v>0</c:v>
                </c:pt>
                <c:pt idx="37">
                  <c:v>0</c:v>
                </c:pt>
                <c:pt idx="41">
                  <c:v>0</c:v>
                </c:pt>
                <c:pt idx="43">
                  <c:v>0</c:v>
                </c:pt>
                <c:pt idx="47">
                  <c:v>0</c:v>
                </c:pt>
                <c:pt idx="49">
                  <c:v>0</c:v>
                </c:pt>
                <c:pt idx="53">
                  <c:v>0</c:v>
                </c:pt>
                <c:pt idx="55">
                  <c:v>0</c:v>
                </c:pt>
                <c:pt idx="59">
                  <c:v>0</c:v>
                </c:pt>
                <c:pt idx="61">
                  <c:v>0</c:v>
                </c:pt>
                <c:pt idx="65">
                  <c:v>0</c:v>
                </c:pt>
                <c:pt idx="67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B-46FF-8C25-029EC5C3AD5B}"/>
            </c:ext>
          </c:extLst>
        </c:ser>
        <c:ser>
          <c:idx val="1"/>
          <c:order val="1"/>
          <c:tx>
            <c:strRef>
              <c:f>'NOVEMBRO 2025'!$C$18:$C$19</c:f>
              <c:strCache>
                <c:ptCount val="2"/>
                <c:pt idx="0">
                  <c:v>IXC - NOVEMBRO 2025 - Financeiro</c:v>
                </c:pt>
                <c:pt idx="1">
                  <c:v>Assunto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2025'!$C$20:$C$93</c:f>
              <c:numCache>
                <c:formatCode>General</c:formatCode>
                <c:ptCount val="7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B-46FF-8C25-029EC5C3AD5B}"/>
            </c:ext>
          </c:extLst>
        </c:ser>
        <c:ser>
          <c:idx val="2"/>
          <c:order val="2"/>
          <c:tx>
            <c:strRef>
              <c:f>'NOVEMBRO 2025'!$D$18:$D$19</c:f>
              <c:strCache>
                <c:ptCount val="2"/>
                <c:pt idx="0">
                  <c:v>IXC - NOVEMBRO 2025 - Financeiro</c:v>
                </c:pt>
                <c:pt idx="1">
                  <c:v>1/11/2025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2025'!$D$20:$D$93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</c:v>
                </c:pt>
                <c:pt idx="14">
                  <c:v>2</c:v>
                </c:pt>
                <c:pt idx="15">
                  <c:v>0</c:v>
                </c:pt>
                <c:pt idx="16">
                  <c:v>1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24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B-46FF-8C25-029EC5C3AD5B}"/>
            </c:ext>
          </c:extLst>
        </c:ser>
        <c:ser>
          <c:idx val="3"/>
          <c:order val="3"/>
          <c:tx>
            <c:strRef>
              <c:f>'NOVEMBRO 2025'!$E$18:$E$19</c:f>
              <c:strCache>
                <c:ptCount val="2"/>
                <c:pt idx="0">
                  <c:v>IXC - NOVEMBRO 2025 - Financeiro</c:v>
                </c:pt>
                <c:pt idx="1">
                  <c:v>2/11/2025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2025'!$E$20:$E$93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23</c:v>
                </c:pt>
                <c:pt idx="9">
                  <c:v>0</c:v>
                </c:pt>
                <c:pt idx="10">
                  <c:v>3</c:v>
                </c:pt>
                <c:pt idx="11">
                  <c:v>9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8B-46FF-8C25-029EC5C3AD5B}"/>
            </c:ext>
          </c:extLst>
        </c:ser>
        <c:ser>
          <c:idx val="4"/>
          <c:order val="4"/>
          <c:tx>
            <c:strRef>
              <c:f>'NOVEMBRO 2025'!$F$18:$F$19</c:f>
              <c:strCache>
                <c:ptCount val="2"/>
                <c:pt idx="0">
                  <c:v>IXC - NOVEMBRO 2025 - Financeiro</c:v>
                </c:pt>
                <c:pt idx="1">
                  <c:v>3/11/2025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2025'!$F$20:$F$93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19</c:v>
                </c:pt>
                <c:pt idx="2">
                  <c:v>16</c:v>
                </c:pt>
                <c:pt idx="3">
                  <c:v>0</c:v>
                </c:pt>
                <c:pt idx="4">
                  <c:v>4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8</c:v>
                </c:pt>
                <c:pt idx="20">
                  <c:v>10</c:v>
                </c:pt>
                <c:pt idx="21">
                  <c:v>0</c:v>
                </c:pt>
                <c:pt idx="22">
                  <c:v>2</c:v>
                </c:pt>
                <c:pt idx="23">
                  <c:v>5</c:v>
                </c:pt>
                <c:pt idx="24">
                  <c:v>0</c:v>
                </c:pt>
                <c:pt idx="25">
                  <c:v>2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7</c:v>
                </c:pt>
                <c:pt idx="34">
                  <c:v>2</c:v>
                </c:pt>
                <c:pt idx="35">
                  <c:v>5</c:v>
                </c:pt>
                <c:pt idx="36">
                  <c:v>1</c:v>
                </c:pt>
                <c:pt idx="37">
                  <c:v>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8B-46FF-8C25-029EC5C3AD5B}"/>
            </c:ext>
          </c:extLst>
        </c:ser>
        <c:ser>
          <c:idx val="5"/>
          <c:order val="5"/>
          <c:tx>
            <c:strRef>
              <c:f>'NOVEMBRO 2025'!$G$18:$G$19</c:f>
              <c:strCache>
                <c:ptCount val="2"/>
                <c:pt idx="0">
                  <c:v>IXC - NOVEMBRO 2025 - Financeiro</c:v>
                </c:pt>
                <c:pt idx="1">
                  <c:v>4/11/2025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2025'!$G$20:$G$93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27</c:v>
                </c:pt>
                <c:pt idx="2">
                  <c:v>12</c:v>
                </c:pt>
                <c:pt idx="3">
                  <c:v>0</c:v>
                </c:pt>
                <c:pt idx="4">
                  <c:v>7</c:v>
                </c:pt>
                <c:pt idx="5">
                  <c:v>56</c:v>
                </c:pt>
                <c:pt idx="6">
                  <c:v>0</c:v>
                </c:pt>
                <c:pt idx="7">
                  <c:v>19</c:v>
                </c:pt>
                <c:pt idx="8">
                  <c:v>9</c:v>
                </c:pt>
                <c:pt idx="9">
                  <c:v>0</c:v>
                </c:pt>
                <c:pt idx="10">
                  <c:v>1</c:v>
                </c:pt>
                <c:pt idx="11">
                  <c:v>7</c:v>
                </c:pt>
                <c:pt idx="12">
                  <c:v>0</c:v>
                </c:pt>
                <c:pt idx="13">
                  <c:v>10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13</c:v>
                </c:pt>
                <c:pt idx="18">
                  <c:v>2</c:v>
                </c:pt>
                <c:pt idx="19">
                  <c:v>16</c:v>
                </c:pt>
                <c:pt idx="20">
                  <c:v>5</c:v>
                </c:pt>
                <c:pt idx="21">
                  <c:v>0</c:v>
                </c:pt>
                <c:pt idx="22">
                  <c:v>4</c:v>
                </c:pt>
                <c:pt idx="23">
                  <c:v>13</c:v>
                </c:pt>
                <c:pt idx="24">
                  <c:v>0</c:v>
                </c:pt>
                <c:pt idx="25">
                  <c:v>2</c:v>
                </c:pt>
                <c:pt idx="26">
                  <c:v>3</c:v>
                </c:pt>
                <c:pt idx="27">
                  <c:v>0</c:v>
                </c:pt>
                <c:pt idx="28">
                  <c:v>2</c:v>
                </c:pt>
                <c:pt idx="29">
                  <c:v>5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6</c:v>
                </c:pt>
                <c:pt idx="34">
                  <c:v>0</c:v>
                </c:pt>
                <c:pt idx="35">
                  <c:v>4</c:v>
                </c:pt>
                <c:pt idx="36">
                  <c:v>1</c:v>
                </c:pt>
                <c:pt idx="37">
                  <c:v>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5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8B-46FF-8C25-029EC5C3AD5B}"/>
            </c:ext>
          </c:extLst>
        </c:ser>
        <c:ser>
          <c:idx val="6"/>
          <c:order val="6"/>
          <c:tx>
            <c:strRef>
              <c:f>'NOVEMBRO 2025'!$H$18:$H$19</c:f>
              <c:strCache>
                <c:ptCount val="2"/>
                <c:pt idx="0">
                  <c:v>IXC - NOVEMBRO 2025 - Financeiro</c:v>
                </c:pt>
                <c:pt idx="1">
                  <c:v>5/11/2025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2025'!$H$20:$H$93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12</c:v>
                </c:pt>
                <c:pt idx="2">
                  <c:v>21</c:v>
                </c:pt>
                <c:pt idx="3">
                  <c:v>0</c:v>
                </c:pt>
                <c:pt idx="4">
                  <c:v>4</c:v>
                </c:pt>
                <c:pt idx="5">
                  <c:v>20</c:v>
                </c:pt>
                <c:pt idx="6">
                  <c:v>0</c:v>
                </c:pt>
                <c:pt idx="7">
                  <c:v>8</c:v>
                </c:pt>
                <c:pt idx="8">
                  <c:v>11</c:v>
                </c:pt>
                <c:pt idx="9">
                  <c:v>0</c:v>
                </c:pt>
                <c:pt idx="10">
                  <c:v>2</c:v>
                </c:pt>
                <c:pt idx="11">
                  <c:v>5</c:v>
                </c:pt>
                <c:pt idx="12">
                  <c:v>2</c:v>
                </c:pt>
                <c:pt idx="13">
                  <c:v>6</c:v>
                </c:pt>
                <c:pt idx="14">
                  <c:v>4</c:v>
                </c:pt>
                <c:pt idx="15">
                  <c:v>0</c:v>
                </c:pt>
                <c:pt idx="16">
                  <c:v>3</c:v>
                </c:pt>
                <c:pt idx="17">
                  <c:v>4</c:v>
                </c:pt>
                <c:pt idx="18">
                  <c:v>1</c:v>
                </c:pt>
                <c:pt idx="19">
                  <c:v>6</c:v>
                </c:pt>
                <c:pt idx="20">
                  <c:v>4</c:v>
                </c:pt>
                <c:pt idx="21">
                  <c:v>0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12</c:v>
                </c:pt>
                <c:pt idx="26">
                  <c:v>3</c:v>
                </c:pt>
                <c:pt idx="27">
                  <c:v>0</c:v>
                </c:pt>
                <c:pt idx="28">
                  <c:v>1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B-46FF-8C25-029EC5C3AD5B}"/>
            </c:ext>
          </c:extLst>
        </c:ser>
        <c:ser>
          <c:idx val="7"/>
          <c:order val="7"/>
          <c:tx>
            <c:strRef>
              <c:f>'NOVEMBRO 2025'!$I$18:$I$19</c:f>
              <c:strCache>
                <c:ptCount val="2"/>
                <c:pt idx="0">
                  <c:v>IXC - NOVEMBRO 2025 - Financeiro</c:v>
                </c:pt>
                <c:pt idx="1">
                  <c:v>6/11/2025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2025'!$I$20:$I$93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9</c:v>
                </c:pt>
                <c:pt idx="2">
                  <c:v>15</c:v>
                </c:pt>
                <c:pt idx="3">
                  <c:v>0</c:v>
                </c:pt>
                <c:pt idx="4">
                  <c:v>5</c:v>
                </c:pt>
                <c:pt idx="5">
                  <c:v>9</c:v>
                </c:pt>
                <c:pt idx="6">
                  <c:v>0</c:v>
                </c:pt>
                <c:pt idx="7">
                  <c:v>3</c:v>
                </c:pt>
                <c:pt idx="8">
                  <c:v>8</c:v>
                </c:pt>
                <c:pt idx="9">
                  <c:v>0</c:v>
                </c:pt>
                <c:pt idx="10">
                  <c:v>5</c:v>
                </c:pt>
                <c:pt idx="11">
                  <c:v>9</c:v>
                </c:pt>
                <c:pt idx="12">
                  <c:v>0</c:v>
                </c:pt>
                <c:pt idx="13">
                  <c:v>14</c:v>
                </c:pt>
                <c:pt idx="14">
                  <c:v>7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9</c:v>
                </c:pt>
                <c:pt idx="20">
                  <c:v>4</c:v>
                </c:pt>
                <c:pt idx="21">
                  <c:v>0</c:v>
                </c:pt>
                <c:pt idx="22">
                  <c:v>1</c:v>
                </c:pt>
                <c:pt idx="23">
                  <c:v>4</c:v>
                </c:pt>
                <c:pt idx="24">
                  <c:v>0</c:v>
                </c:pt>
                <c:pt idx="25">
                  <c:v>2</c:v>
                </c:pt>
                <c:pt idx="26">
                  <c:v>5</c:v>
                </c:pt>
                <c:pt idx="27">
                  <c:v>0</c:v>
                </c:pt>
                <c:pt idx="28">
                  <c:v>3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5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0</c:v>
                </c:pt>
                <c:pt idx="63">
                  <c:v>1</c:v>
                </c:pt>
                <c:pt idx="64">
                  <c:v>4</c:v>
                </c:pt>
                <c:pt idx="65">
                  <c:v>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8B-46FF-8C25-029EC5C3AD5B}"/>
            </c:ext>
          </c:extLst>
        </c:ser>
        <c:ser>
          <c:idx val="8"/>
          <c:order val="8"/>
          <c:tx>
            <c:strRef>
              <c:f>'NOVEMBRO 2025'!$J$18:$J$19</c:f>
              <c:strCache>
                <c:ptCount val="2"/>
                <c:pt idx="0">
                  <c:v>IXC - NOVEMBRO 2025 - Financeiro</c:v>
                </c:pt>
                <c:pt idx="1">
                  <c:v>7/11/2025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2025'!$J$20:$J$93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12</c:v>
                </c:pt>
                <c:pt idx="2">
                  <c:v>15</c:v>
                </c:pt>
                <c:pt idx="3">
                  <c:v>0</c:v>
                </c:pt>
                <c:pt idx="4">
                  <c:v>3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7</c:v>
                </c:pt>
                <c:pt idx="21">
                  <c:v>0</c:v>
                </c:pt>
                <c:pt idx="22">
                  <c:v>3</c:v>
                </c:pt>
                <c:pt idx="23">
                  <c:v>4</c:v>
                </c:pt>
                <c:pt idx="24">
                  <c:v>0</c:v>
                </c:pt>
                <c:pt idx="25">
                  <c:v>6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4</c:v>
                </c:pt>
                <c:pt idx="30">
                  <c:v>0</c:v>
                </c:pt>
                <c:pt idx="31">
                  <c:v>7</c:v>
                </c:pt>
                <c:pt idx="32">
                  <c:v>5</c:v>
                </c:pt>
                <c:pt idx="33">
                  <c:v>3</c:v>
                </c:pt>
                <c:pt idx="34">
                  <c:v>1</c:v>
                </c:pt>
                <c:pt idx="35">
                  <c:v>10</c:v>
                </c:pt>
                <c:pt idx="36">
                  <c:v>0</c:v>
                </c:pt>
                <c:pt idx="37">
                  <c:v>13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16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9</c:v>
                </c:pt>
                <c:pt idx="62">
                  <c:v>0</c:v>
                </c:pt>
                <c:pt idx="63">
                  <c:v>13</c:v>
                </c:pt>
                <c:pt idx="64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8B-46FF-8C25-029EC5C3AD5B}"/>
            </c:ext>
          </c:extLst>
        </c:ser>
        <c:ser>
          <c:idx val="9"/>
          <c:order val="9"/>
          <c:tx>
            <c:strRef>
              <c:f>'NOVEMBRO 2025'!$K$18:$K$19</c:f>
              <c:strCache>
                <c:ptCount val="2"/>
                <c:pt idx="0">
                  <c:v>IXC - NOVEMBRO 2025 - Financeiro</c:v>
                </c:pt>
                <c:pt idx="1">
                  <c:v>8/11/2025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2025'!$K$20:$K$93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16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10</c:v>
                </c:pt>
                <c:pt idx="21">
                  <c:v>0</c:v>
                </c:pt>
                <c:pt idx="22">
                  <c:v>1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3</c:v>
                </c:pt>
                <c:pt idx="30">
                  <c:v>0</c:v>
                </c:pt>
                <c:pt idx="31">
                  <c:v>7</c:v>
                </c:pt>
                <c:pt idx="32">
                  <c:v>0</c:v>
                </c:pt>
                <c:pt idx="33">
                  <c:v>4</c:v>
                </c:pt>
                <c:pt idx="34">
                  <c:v>1</c:v>
                </c:pt>
                <c:pt idx="35">
                  <c:v>5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8B-46FF-8C25-029EC5C3AD5B}"/>
            </c:ext>
          </c:extLst>
        </c:ser>
        <c:ser>
          <c:idx val="10"/>
          <c:order val="10"/>
          <c:tx>
            <c:strRef>
              <c:f>'NOVEMBRO 2025'!$L$18:$L$19</c:f>
              <c:strCache>
                <c:ptCount val="2"/>
                <c:pt idx="0">
                  <c:v>IXC - NOVEMBRO 2025 - Financeiro</c:v>
                </c:pt>
                <c:pt idx="1">
                  <c:v>9/11/2025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2025'!$L$20:$L$93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24</c:v>
                </c:pt>
                <c:pt idx="15">
                  <c:v>0</c:v>
                </c:pt>
                <c:pt idx="16">
                  <c:v>5</c:v>
                </c:pt>
                <c:pt idx="17">
                  <c:v>8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78B-46FF-8C25-029EC5C3AD5B}"/>
            </c:ext>
          </c:extLst>
        </c:ser>
        <c:ser>
          <c:idx val="11"/>
          <c:order val="11"/>
          <c:tx>
            <c:strRef>
              <c:f>'NOVEMBRO 2025'!$M$18:$M$19</c:f>
              <c:strCache>
                <c:ptCount val="2"/>
                <c:pt idx="0">
                  <c:v>IXC - NOVEMBRO 2025 - Financeiro</c:v>
                </c:pt>
                <c:pt idx="1">
                  <c:v>10/11/2025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2025'!$M$20:$M$93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3</c:v>
                </c:pt>
                <c:pt idx="2">
                  <c:v>18</c:v>
                </c:pt>
                <c:pt idx="3">
                  <c:v>0</c:v>
                </c:pt>
                <c:pt idx="4">
                  <c:v>3</c:v>
                </c:pt>
                <c:pt idx="5">
                  <c:v>16</c:v>
                </c:pt>
                <c:pt idx="6">
                  <c:v>0</c:v>
                </c:pt>
                <c:pt idx="7">
                  <c:v>4</c:v>
                </c:pt>
                <c:pt idx="8">
                  <c:v>15</c:v>
                </c:pt>
                <c:pt idx="9">
                  <c:v>0</c:v>
                </c:pt>
                <c:pt idx="10">
                  <c:v>2</c:v>
                </c:pt>
                <c:pt idx="11">
                  <c:v>13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6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</c:v>
                </c:pt>
                <c:pt idx="64">
                  <c:v>3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8B-46FF-8C25-029EC5C3AD5B}"/>
            </c:ext>
          </c:extLst>
        </c:ser>
        <c:ser>
          <c:idx val="12"/>
          <c:order val="12"/>
          <c:tx>
            <c:strRef>
              <c:f>'NOVEMBRO 2025'!$N$18:$N$19</c:f>
              <c:strCache>
                <c:ptCount val="2"/>
                <c:pt idx="0">
                  <c:v>IXC - NOVEMBRO 2025 - Financeiro</c:v>
                </c:pt>
                <c:pt idx="1">
                  <c:v>11/11/2025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2025'!$N$20:$N$93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1</c:v>
                </c:pt>
                <c:pt idx="5">
                  <c:v>5</c:v>
                </c:pt>
                <c:pt idx="6">
                  <c:v>1</c:v>
                </c:pt>
                <c:pt idx="7">
                  <c:v>14</c:v>
                </c:pt>
                <c:pt idx="8">
                  <c:v>10</c:v>
                </c:pt>
                <c:pt idx="9">
                  <c:v>0</c:v>
                </c:pt>
                <c:pt idx="10">
                  <c:v>3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5</c:v>
                </c:pt>
                <c:pt idx="15">
                  <c:v>0</c:v>
                </c:pt>
                <c:pt idx="16">
                  <c:v>3</c:v>
                </c:pt>
                <c:pt idx="17">
                  <c:v>7</c:v>
                </c:pt>
                <c:pt idx="18">
                  <c:v>0</c:v>
                </c:pt>
                <c:pt idx="19">
                  <c:v>10</c:v>
                </c:pt>
                <c:pt idx="20">
                  <c:v>7</c:v>
                </c:pt>
                <c:pt idx="21">
                  <c:v>0</c:v>
                </c:pt>
                <c:pt idx="22">
                  <c:v>1</c:v>
                </c:pt>
                <c:pt idx="23">
                  <c:v>5</c:v>
                </c:pt>
                <c:pt idx="24">
                  <c:v>0</c:v>
                </c:pt>
                <c:pt idx="25">
                  <c:v>11</c:v>
                </c:pt>
                <c:pt idx="26">
                  <c:v>1</c:v>
                </c:pt>
                <c:pt idx="27">
                  <c:v>0</c:v>
                </c:pt>
                <c:pt idx="28">
                  <c:v>2</c:v>
                </c:pt>
                <c:pt idx="29">
                  <c:v>2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7</c:v>
                </c:pt>
                <c:pt idx="34">
                  <c:v>2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</c:v>
                </c:pt>
                <c:pt idx="64">
                  <c:v>0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8B-46FF-8C25-029EC5C3AD5B}"/>
            </c:ext>
          </c:extLst>
        </c:ser>
        <c:ser>
          <c:idx val="13"/>
          <c:order val="13"/>
          <c:tx>
            <c:strRef>
              <c:f>'NOVEMBRO 2025'!$O$18:$O$19</c:f>
              <c:strCache>
                <c:ptCount val="2"/>
                <c:pt idx="0">
                  <c:v>IXC - NOVEMBRO 2025 - Financeiro</c:v>
                </c:pt>
                <c:pt idx="1">
                  <c:v>12/11/2025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2025'!$O$20:$O$93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12</c:v>
                </c:pt>
                <c:pt idx="2">
                  <c:v>19</c:v>
                </c:pt>
                <c:pt idx="3">
                  <c:v>0</c:v>
                </c:pt>
                <c:pt idx="4">
                  <c:v>4</c:v>
                </c:pt>
                <c:pt idx="5">
                  <c:v>16</c:v>
                </c:pt>
                <c:pt idx="6">
                  <c:v>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2</c:v>
                </c:pt>
                <c:pt idx="11">
                  <c:v>11</c:v>
                </c:pt>
                <c:pt idx="12">
                  <c:v>0</c:v>
                </c:pt>
                <c:pt idx="13">
                  <c:v>13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6</c:v>
                </c:pt>
                <c:pt idx="20">
                  <c:v>5</c:v>
                </c:pt>
                <c:pt idx="21">
                  <c:v>0</c:v>
                </c:pt>
                <c:pt idx="22">
                  <c:v>3</c:v>
                </c:pt>
                <c:pt idx="23">
                  <c:v>9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0</c:v>
                </c:pt>
                <c:pt idx="28">
                  <c:v>9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12</c:v>
                </c:pt>
                <c:pt idx="64">
                  <c:v>4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78B-46FF-8C25-029EC5C3AD5B}"/>
            </c:ext>
          </c:extLst>
        </c:ser>
        <c:ser>
          <c:idx val="14"/>
          <c:order val="14"/>
          <c:tx>
            <c:strRef>
              <c:f>'NOVEMBRO 2025'!$P$18:$P$19</c:f>
              <c:strCache>
                <c:ptCount val="2"/>
                <c:pt idx="0">
                  <c:v>IXC - NOVEMBRO 2025 - Financeiro</c:v>
                </c:pt>
                <c:pt idx="1">
                  <c:v>13/11/2025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2025'!$P$20:$P$93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21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6</c:v>
                </c:pt>
                <c:pt idx="8">
                  <c:v>8</c:v>
                </c:pt>
                <c:pt idx="9">
                  <c:v>0</c:v>
                </c:pt>
                <c:pt idx="10">
                  <c:v>3</c:v>
                </c:pt>
                <c:pt idx="11">
                  <c:v>7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9</c:v>
                </c:pt>
                <c:pt idx="34">
                  <c:v>2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4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78B-46FF-8C25-029EC5C3AD5B}"/>
            </c:ext>
          </c:extLst>
        </c:ser>
        <c:ser>
          <c:idx val="15"/>
          <c:order val="15"/>
          <c:tx>
            <c:strRef>
              <c:f>'NOVEMBRO 2025'!$Q$18:$Q$19</c:f>
              <c:strCache>
                <c:ptCount val="2"/>
                <c:pt idx="0">
                  <c:v>IXC - NOVEMBRO 2025 - Financeiro</c:v>
                </c:pt>
                <c:pt idx="1">
                  <c:v>14/11/2025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2025'!$Q$20:$Q$93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6</c:v>
                </c:pt>
                <c:pt idx="2">
                  <c:v>18</c:v>
                </c:pt>
                <c:pt idx="3">
                  <c:v>0</c:v>
                </c:pt>
                <c:pt idx="4">
                  <c:v>8</c:v>
                </c:pt>
                <c:pt idx="5">
                  <c:v>17</c:v>
                </c:pt>
                <c:pt idx="6">
                  <c:v>0</c:v>
                </c:pt>
                <c:pt idx="7">
                  <c:v>12</c:v>
                </c:pt>
                <c:pt idx="8">
                  <c:v>20</c:v>
                </c:pt>
                <c:pt idx="9">
                  <c:v>0</c:v>
                </c:pt>
                <c:pt idx="10">
                  <c:v>1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2</c:v>
                </c:pt>
                <c:pt idx="27">
                  <c:v>0</c:v>
                </c:pt>
                <c:pt idx="28">
                  <c:v>3</c:v>
                </c:pt>
                <c:pt idx="29">
                  <c:v>10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</c:v>
                </c:pt>
                <c:pt idx="34">
                  <c:v>2</c:v>
                </c:pt>
                <c:pt idx="35">
                  <c:v>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8</c:v>
                </c:pt>
                <c:pt idx="51">
                  <c:v>0</c:v>
                </c:pt>
                <c:pt idx="52">
                  <c:v>1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4</c:v>
                </c:pt>
                <c:pt idx="64">
                  <c:v>1</c:v>
                </c:pt>
                <c:pt idx="65">
                  <c:v>5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78B-46FF-8C25-029EC5C3AD5B}"/>
            </c:ext>
          </c:extLst>
        </c:ser>
        <c:ser>
          <c:idx val="16"/>
          <c:order val="16"/>
          <c:tx>
            <c:strRef>
              <c:f>'NOVEMBRO 2025'!$R$18:$R$19</c:f>
              <c:strCache>
                <c:ptCount val="2"/>
                <c:pt idx="0">
                  <c:v>IXC - NOVEMBRO 2025 - Financeiro</c:v>
                </c:pt>
                <c:pt idx="1">
                  <c:v>15/11/2025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2025'!$R$20:$R$93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78B-46FF-8C25-029EC5C3AD5B}"/>
            </c:ext>
          </c:extLst>
        </c:ser>
        <c:ser>
          <c:idx val="17"/>
          <c:order val="17"/>
          <c:tx>
            <c:strRef>
              <c:f>'NOVEMBRO 2025'!$S$18:$S$19</c:f>
              <c:strCache>
                <c:ptCount val="2"/>
                <c:pt idx="0">
                  <c:v>IXC - NOVEMBRO 2025 - Financeiro</c:v>
                </c:pt>
                <c:pt idx="1">
                  <c:v>16/11/2025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2025'!$S$20:$S$93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78B-46FF-8C25-029EC5C3AD5B}"/>
            </c:ext>
          </c:extLst>
        </c:ser>
        <c:ser>
          <c:idx val="18"/>
          <c:order val="18"/>
          <c:tx>
            <c:strRef>
              <c:f>'NOVEMBRO 2025'!$T$18:$T$19</c:f>
              <c:strCache>
                <c:ptCount val="2"/>
                <c:pt idx="0">
                  <c:v>IXC - NOVEMBRO 2025 - Financeiro</c:v>
                </c:pt>
                <c:pt idx="1">
                  <c:v>17/11/2025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2025'!$T$20:$T$93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0</c:v>
                </c:pt>
                <c:pt idx="4">
                  <c:v>5</c:v>
                </c:pt>
                <c:pt idx="5">
                  <c:v>11</c:v>
                </c:pt>
                <c:pt idx="6">
                  <c:v>0</c:v>
                </c:pt>
                <c:pt idx="7">
                  <c:v>2</c:v>
                </c:pt>
                <c:pt idx="8">
                  <c:v>13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  <c:pt idx="12">
                  <c:v>0</c:v>
                </c:pt>
                <c:pt idx="13">
                  <c:v>8</c:v>
                </c:pt>
                <c:pt idx="14">
                  <c:v>3</c:v>
                </c:pt>
                <c:pt idx="15">
                  <c:v>0</c:v>
                </c:pt>
                <c:pt idx="16">
                  <c:v>4</c:v>
                </c:pt>
                <c:pt idx="17">
                  <c:v>11</c:v>
                </c:pt>
                <c:pt idx="18">
                  <c:v>0</c:v>
                </c:pt>
                <c:pt idx="19">
                  <c:v>1</c:v>
                </c:pt>
                <c:pt idx="20">
                  <c:v>7</c:v>
                </c:pt>
                <c:pt idx="21">
                  <c:v>0</c:v>
                </c:pt>
                <c:pt idx="22">
                  <c:v>2</c:v>
                </c:pt>
                <c:pt idx="23">
                  <c:v>5</c:v>
                </c:pt>
                <c:pt idx="24">
                  <c:v>0</c:v>
                </c:pt>
                <c:pt idx="25">
                  <c:v>2</c:v>
                </c:pt>
                <c:pt idx="26">
                  <c:v>11</c:v>
                </c:pt>
                <c:pt idx="27">
                  <c:v>0</c:v>
                </c:pt>
                <c:pt idx="28">
                  <c:v>3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7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9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78B-46FF-8C25-029EC5C3AD5B}"/>
            </c:ext>
          </c:extLst>
        </c:ser>
        <c:ser>
          <c:idx val="19"/>
          <c:order val="19"/>
          <c:tx>
            <c:strRef>
              <c:f>'NOVEMBRO 2025'!$U$18:$U$19</c:f>
              <c:strCache>
                <c:ptCount val="2"/>
                <c:pt idx="0">
                  <c:v>IXC - NOVEMBRO 2025 - Financeiro</c:v>
                </c:pt>
                <c:pt idx="1">
                  <c:v>18/11/2025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2025'!$U$20:$U$93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12</c:v>
                </c:pt>
                <c:pt idx="2">
                  <c:v>18</c:v>
                </c:pt>
                <c:pt idx="3">
                  <c:v>0</c:v>
                </c:pt>
                <c:pt idx="4">
                  <c:v>3</c:v>
                </c:pt>
                <c:pt idx="5">
                  <c:v>11</c:v>
                </c:pt>
                <c:pt idx="6">
                  <c:v>0</c:v>
                </c:pt>
                <c:pt idx="7">
                  <c:v>4</c:v>
                </c:pt>
                <c:pt idx="8">
                  <c:v>8</c:v>
                </c:pt>
                <c:pt idx="9">
                  <c:v>0</c:v>
                </c:pt>
                <c:pt idx="10">
                  <c:v>3</c:v>
                </c:pt>
                <c:pt idx="11">
                  <c:v>7</c:v>
                </c:pt>
                <c:pt idx="12">
                  <c:v>1</c:v>
                </c:pt>
                <c:pt idx="13">
                  <c:v>4</c:v>
                </c:pt>
                <c:pt idx="14">
                  <c:v>6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6</c:v>
                </c:pt>
                <c:pt idx="20">
                  <c:v>7</c:v>
                </c:pt>
                <c:pt idx="21">
                  <c:v>0</c:v>
                </c:pt>
                <c:pt idx="22">
                  <c:v>3</c:v>
                </c:pt>
                <c:pt idx="23">
                  <c:v>5</c:v>
                </c:pt>
                <c:pt idx="24">
                  <c:v>0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3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4</c:v>
                </c:pt>
                <c:pt idx="50">
                  <c:v>7</c:v>
                </c:pt>
                <c:pt idx="51">
                  <c:v>0</c:v>
                </c:pt>
                <c:pt idx="52">
                  <c:v>0</c:v>
                </c:pt>
                <c:pt idx="53">
                  <c:v>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4</c:v>
                </c:pt>
                <c:pt idx="64">
                  <c:v>5</c:v>
                </c:pt>
                <c:pt idx="65">
                  <c:v>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78B-46FF-8C25-029EC5C3AD5B}"/>
            </c:ext>
          </c:extLst>
        </c:ser>
        <c:ser>
          <c:idx val="20"/>
          <c:order val="20"/>
          <c:tx>
            <c:strRef>
              <c:f>'NOVEMBRO 2025'!$V$18:$V$19</c:f>
              <c:strCache>
                <c:ptCount val="2"/>
                <c:pt idx="0">
                  <c:v>IXC - NOVEMBRO 2025 - Financeiro</c:v>
                </c:pt>
                <c:pt idx="1">
                  <c:v>19/11/2025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2025'!$V$20:$V$93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23</c:v>
                </c:pt>
                <c:pt idx="2">
                  <c:v>19</c:v>
                </c:pt>
                <c:pt idx="3">
                  <c:v>0</c:v>
                </c:pt>
                <c:pt idx="4">
                  <c:v>6</c:v>
                </c:pt>
                <c:pt idx="5">
                  <c:v>15</c:v>
                </c:pt>
                <c:pt idx="6">
                  <c:v>0</c:v>
                </c:pt>
                <c:pt idx="7">
                  <c:v>7</c:v>
                </c:pt>
                <c:pt idx="8">
                  <c:v>12</c:v>
                </c:pt>
                <c:pt idx="9">
                  <c:v>0</c:v>
                </c:pt>
                <c:pt idx="10">
                  <c:v>3</c:v>
                </c:pt>
                <c:pt idx="11">
                  <c:v>9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6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0</c:v>
                </c:pt>
                <c:pt idx="25">
                  <c:v>14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</c:v>
                </c:pt>
                <c:pt idx="34">
                  <c:v>3</c:v>
                </c:pt>
                <c:pt idx="35">
                  <c:v>4</c:v>
                </c:pt>
                <c:pt idx="36">
                  <c:v>0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4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9</c:v>
                </c:pt>
                <c:pt idx="50">
                  <c:v>3</c:v>
                </c:pt>
                <c:pt idx="51">
                  <c:v>0</c:v>
                </c:pt>
                <c:pt idx="52">
                  <c:v>0</c:v>
                </c:pt>
                <c:pt idx="53">
                  <c:v>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78B-46FF-8C25-029EC5C3AD5B}"/>
            </c:ext>
          </c:extLst>
        </c:ser>
        <c:ser>
          <c:idx val="21"/>
          <c:order val="21"/>
          <c:tx>
            <c:strRef>
              <c:f>'NOVEMBRO 2025'!$W$18:$W$19</c:f>
              <c:strCache>
                <c:ptCount val="2"/>
                <c:pt idx="0">
                  <c:v>IXC - NOVEMBRO 2025 - Financeiro</c:v>
                </c:pt>
                <c:pt idx="1">
                  <c:v>20/11/2025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2025'!$W$20:$W$93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28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4</c:v>
                </c:pt>
                <c:pt idx="34">
                  <c:v>3</c:v>
                </c:pt>
                <c:pt idx="35">
                  <c:v>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78B-46FF-8C25-029EC5C3AD5B}"/>
            </c:ext>
          </c:extLst>
        </c:ser>
        <c:ser>
          <c:idx val="22"/>
          <c:order val="22"/>
          <c:tx>
            <c:strRef>
              <c:f>'NOVEMBRO 2025'!$X$18:$X$19</c:f>
              <c:strCache>
                <c:ptCount val="2"/>
                <c:pt idx="0">
                  <c:v>IXC - NOVEMBRO 2025 - Financeiro</c:v>
                </c:pt>
                <c:pt idx="1">
                  <c:v>21/11/2025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2025'!$X$20:$X$93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18</c:v>
                </c:pt>
                <c:pt idx="2">
                  <c:v>14</c:v>
                </c:pt>
                <c:pt idx="3">
                  <c:v>0</c:v>
                </c:pt>
                <c:pt idx="4">
                  <c:v>1</c:v>
                </c:pt>
                <c:pt idx="5">
                  <c:v>12</c:v>
                </c:pt>
                <c:pt idx="6">
                  <c:v>1</c:v>
                </c:pt>
                <c:pt idx="7">
                  <c:v>12</c:v>
                </c:pt>
                <c:pt idx="8">
                  <c:v>15</c:v>
                </c:pt>
                <c:pt idx="9">
                  <c:v>0</c:v>
                </c:pt>
                <c:pt idx="10">
                  <c:v>3</c:v>
                </c:pt>
                <c:pt idx="11">
                  <c:v>17</c:v>
                </c:pt>
                <c:pt idx="12">
                  <c:v>0</c:v>
                </c:pt>
                <c:pt idx="13">
                  <c:v>35</c:v>
                </c:pt>
                <c:pt idx="14">
                  <c:v>3</c:v>
                </c:pt>
                <c:pt idx="15">
                  <c:v>0</c:v>
                </c:pt>
                <c:pt idx="16">
                  <c:v>6</c:v>
                </c:pt>
                <c:pt idx="17">
                  <c:v>23</c:v>
                </c:pt>
                <c:pt idx="18">
                  <c:v>1</c:v>
                </c:pt>
                <c:pt idx="19">
                  <c:v>17</c:v>
                </c:pt>
                <c:pt idx="20">
                  <c:v>3</c:v>
                </c:pt>
                <c:pt idx="21">
                  <c:v>0</c:v>
                </c:pt>
                <c:pt idx="22">
                  <c:v>1</c:v>
                </c:pt>
                <c:pt idx="23">
                  <c:v>13</c:v>
                </c:pt>
                <c:pt idx="24">
                  <c:v>0</c:v>
                </c:pt>
                <c:pt idx="25">
                  <c:v>23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3</c:v>
                </c:pt>
                <c:pt idx="35">
                  <c:v>7</c:v>
                </c:pt>
                <c:pt idx="36">
                  <c:v>1</c:v>
                </c:pt>
                <c:pt idx="37">
                  <c:v>6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17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78B-46FF-8C25-029EC5C3AD5B}"/>
            </c:ext>
          </c:extLst>
        </c:ser>
        <c:ser>
          <c:idx val="23"/>
          <c:order val="23"/>
          <c:tx>
            <c:strRef>
              <c:f>'NOVEMBRO 2025'!$Y$18:$Y$19</c:f>
              <c:strCache>
                <c:ptCount val="2"/>
                <c:pt idx="0">
                  <c:v>IXC - NOVEMBRO 2025 - Financeiro</c:v>
                </c:pt>
                <c:pt idx="1">
                  <c:v>22/11/2025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2025'!$Y$20:$Y$93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15</c:v>
                </c:pt>
                <c:pt idx="9">
                  <c:v>0</c:v>
                </c:pt>
                <c:pt idx="10">
                  <c:v>3</c:v>
                </c:pt>
                <c:pt idx="11">
                  <c:v>14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14</c:v>
                </c:pt>
                <c:pt idx="20">
                  <c:v>9</c:v>
                </c:pt>
                <c:pt idx="21">
                  <c:v>0</c:v>
                </c:pt>
                <c:pt idx="22">
                  <c:v>1</c:v>
                </c:pt>
                <c:pt idx="23">
                  <c:v>13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6</c:v>
                </c:pt>
                <c:pt idx="34">
                  <c:v>3</c:v>
                </c:pt>
                <c:pt idx="35">
                  <c:v>5</c:v>
                </c:pt>
                <c:pt idx="36">
                  <c:v>3</c:v>
                </c:pt>
                <c:pt idx="37">
                  <c:v>10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13</c:v>
                </c:pt>
                <c:pt idx="50">
                  <c:v>3</c:v>
                </c:pt>
                <c:pt idx="51">
                  <c:v>0</c:v>
                </c:pt>
                <c:pt idx="52">
                  <c:v>1</c:v>
                </c:pt>
                <c:pt idx="53">
                  <c:v>14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78B-46FF-8C25-029EC5C3AD5B}"/>
            </c:ext>
          </c:extLst>
        </c:ser>
        <c:ser>
          <c:idx val="24"/>
          <c:order val="24"/>
          <c:tx>
            <c:strRef>
              <c:f>'NOVEMBRO 2025'!$Z$18:$Z$19</c:f>
              <c:strCache>
                <c:ptCount val="2"/>
                <c:pt idx="0">
                  <c:v>IXC - NOVEMBRO 2025 - Financeiro</c:v>
                </c:pt>
                <c:pt idx="1">
                  <c:v>23/11/2025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2025'!$Z$20:$Z$93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</c:v>
                </c:pt>
                <c:pt idx="26">
                  <c:v>12</c:v>
                </c:pt>
                <c:pt idx="27">
                  <c:v>0</c:v>
                </c:pt>
                <c:pt idx="28">
                  <c:v>1</c:v>
                </c:pt>
                <c:pt idx="29">
                  <c:v>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78B-46FF-8C25-029EC5C3AD5B}"/>
            </c:ext>
          </c:extLst>
        </c:ser>
        <c:ser>
          <c:idx val="25"/>
          <c:order val="25"/>
          <c:tx>
            <c:strRef>
              <c:f>'NOVEMBRO 2025'!$AA$18:$AA$19</c:f>
              <c:strCache>
                <c:ptCount val="2"/>
                <c:pt idx="0">
                  <c:v>IXC - NOVEMBRO 2025 - Financeiro</c:v>
                </c:pt>
                <c:pt idx="1">
                  <c:v>24/11/2025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2025'!$AA$20:$AA$93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16</c:v>
                </c:pt>
                <c:pt idx="2">
                  <c:v>23</c:v>
                </c:pt>
                <c:pt idx="3">
                  <c:v>0</c:v>
                </c:pt>
                <c:pt idx="4">
                  <c:v>2</c:v>
                </c:pt>
                <c:pt idx="5">
                  <c:v>8</c:v>
                </c:pt>
                <c:pt idx="6">
                  <c:v>0</c:v>
                </c:pt>
                <c:pt idx="7">
                  <c:v>25</c:v>
                </c:pt>
                <c:pt idx="8">
                  <c:v>17</c:v>
                </c:pt>
                <c:pt idx="9">
                  <c:v>0</c:v>
                </c:pt>
                <c:pt idx="10">
                  <c:v>1</c:v>
                </c:pt>
                <c:pt idx="11">
                  <c:v>8</c:v>
                </c:pt>
                <c:pt idx="12">
                  <c:v>4</c:v>
                </c:pt>
                <c:pt idx="13">
                  <c:v>14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1</c:v>
                </c:pt>
                <c:pt idx="19">
                  <c:v>7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7</c:v>
                </c:pt>
                <c:pt idx="36">
                  <c:v>0</c:v>
                </c:pt>
                <c:pt idx="37">
                  <c:v>10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12</c:v>
                </c:pt>
                <c:pt idx="50">
                  <c:v>4</c:v>
                </c:pt>
                <c:pt idx="51">
                  <c:v>0</c:v>
                </c:pt>
                <c:pt idx="52">
                  <c:v>0</c:v>
                </c:pt>
                <c:pt idx="53">
                  <c:v>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78B-46FF-8C25-029EC5C3AD5B}"/>
            </c:ext>
          </c:extLst>
        </c:ser>
        <c:ser>
          <c:idx val="26"/>
          <c:order val="26"/>
          <c:tx>
            <c:strRef>
              <c:f>'NOVEMBRO 2025'!$AB$18:$AB$19</c:f>
              <c:strCache>
                <c:ptCount val="2"/>
                <c:pt idx="0">
                  <c:v>IXC - NOVEMBRO 2025 - Financeiro</c:v>
                </c:pt>
                <c:pt idx="1">
                  <c:v>25/11/2025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2025'!$AB$20:$AB$93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36</c:v>
                </c:pt>
                <c:pt idx="2">
                  <c:v>11</c:v>
                </c:pt>
                <c:pt idx="3">
                  <c:v>0</c:v>
                </c:pt>
                <c:pt idx="4">
                  <c:v>3</c:v>
                </c:pt>
                <c:pt idx="5">
                  <c:v>41</c:v>
                </c:pt>
                <c:pt idx="6">
                  <c:v>1</c:v>
                </c:pt>
                <c:pt idx="7">
                  <c:v>13</c:v>
                </c:pt>
                <c:pt idx="8">
                  <c:v>7</c:v>
                </c:pt>
                <c:pt idx="9">
                  <c:v>0</c:v>
                </c:pt>
                <c:pt idx="10">
                  <c:v>1</c:v>
                </c:pt>
                <c:pt idx="11">
                  <c:v>10</c:v>
                </c:pt>
                <c:pt idx="12">
                  <c:v>1</c:v>
                </c:pt>
                <c:pt idx="13">
                  <c:v>28</c:v>
                </c:pt>
                <c:pt idx="14">
                  <c:v>9</c:v>
                </c:pt>
                <c:pt idx="15">
                  <c:v>0</c:v>
                </c:pt>
                <c:pt idx="16">
                  <c:v>0</c:v>
                </c:pt>
                <c:pt idx="17">
                  <c:v>25</c:v>
                </c:pt>
                <c:pt idx="18">
                  <c:v>0</c:v>
                </c:pt>
                <c:pt idx="19">
                  <c:v>25</c:v>
                </c:pt>
                <c:pt idx="20">
                  <c:v>3</c:v>
                </c:pt>
                <c:pt idx="21">
                  <c:v>0</c:v>
                </c:pt>
                <c:pt idx="22">
                  <c:v>1</c:v>
                </c:pt>
                <c:pt idx="23">
                  <c:v>12</c:v>
                </c:pt>
                <c:pt idx="24">
                  <c:v>0</c:v>
                </c:pt>
                <c:pt idx="25">
                  <c:v>19</c:v>
                </c:pt>
                <c:pt idx="26">
                  <c:v>18</c:v>
                </c:pt>
                <c:pt idx="27">
                  <c:v>0</c:v>
                </c:pt>
                <c:pt idx="28">
                  <c:v>0</c:v>
                </c:pt>
                <c:pt idx="29">
                  <c:v>12</c:v>
                </c:pt>
                <c:pt idx="30">
                  <c:v>1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0</c:v>
                </c:pt>
                <c:pt idx="35">
                  <c:v>3</c:v>
                </c:pt>
                <c:pt idx="36">
                  <c:v>0</c:v>
                </c:pt>
                <c:pt idx="37">
                  <c:v>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8</c:v>
                </c:pt>
                <c:pt idx="42">
                  <c:v>0</c:v>
                </c:pt>
                <c:pt idx="43">
                  <c:v>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</c:v>
                </c:pt>
                <c:pt idx="48">
                  <c:v>0</c:v>
                </c:pt>
                <c:pt idx="49">
                  <c:v>16</c:v>
                </c:pt>
                <c:pt idx="50">
                  <c:v>2</c:v>
                </c:pt>
                <c:pt idx="51">
                  <c:v>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78B-46FF-8C25-029EC5C3AD5B}"/>
            </c:ext>
          </c:extLst>
        </c:ser>
        <c:ser>
          <c:idx val="27"/>
          <c:order val="27"/>
          <c:tx>
            <c:strRef>
              <c:f>'NOVEMBRO 2025'!$AC$18:$AC$19</c:f>
              <c:strCache>
                <c:ptCount val="2"/>
                <c:pt idx="0">
                  <c:v>IXC - NOVEMBRO 2025 - Financeiro</c:v>
                </c:pt>
                <c:pt idx="1">
                  <c:v>26/11/2025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2025'!$AC$20:$AC$93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7</c:v>
                </c:pt>
                <c:pt idx="2">
                  <c:v>16</c:v>
                </c:pt>
                <c:pt idx="3">
                  <c:v>0</c:v>
                </c:pt>
                <c:pt idx="4">
                  <c:v>4</c:v>
                </c:pt>
                <c:pt idx="5">
                  <c:v>8</c:v>
                </c:pt>
                <c:pt idx="6">
                  <c:v>0</c:v>
                </c:pt>
                <c:pt idx="7">
                  <c:v>9</c:v>
                </c:pt>
                <c:pt idx="8">
                  <c:v>13</c:v>
                </c:pt>
                <c:pt idx="9">
                  <c:v>0</c:v>
                </c:pt>
                <c:pt idx="10">
                  <c:v>1</c:v>
                </c:pt>
                <c:pt idx="11">
                  <c:v>13</c:v>
                </c:pt>
                <c:pt idx="12">
                  <c:v>1</c:v>
                </c:pt>
                <c:pt idx="13">
                  <c:v>9</c:v>
                </c:pt>
                <c:pt idx="14">
                  <c:v>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22</c:v>
                </c:pt>
                <c:pt idx="20">
                  <c:v>6</c:v>
                </c:pt>
                <c:pt idx="21">
                  <c:v>0</c:v>
                </c:pt>
                <c:pt idx="22">
                  <c:v>2</c:v>
                </c:pt>
                <c:pt idx="23">
                  <c:v>8</c:v>
                </c:pt>
                <c:pt idx="24">
                  <c:v>0</c:v>
                </c:pt>
                <c:pt idx="25">
                  <c:v>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16</c:v>
                </c:pt>
                <c:pt idx="34">
                  <c:v>4</c:v>
                </c:pt>
                <c:pt idx="35">
                  <c:v>8</c:v>
                </c:pt>
                <c:pt idx="36">
                  <c:v>0</c:v>
                </c:pt>
                <c:pt idx="37">
                  <c:v>17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5</c:v>
                </c:pt>
                <c:pt idx="42">
                  <c:v>0</c:v>
                </c:pt>
                <c:pt idx="43">
                  <c:v>22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78B-46FF-8C25-029EC5C3AD5B}"/>
            </c:ext>
          </c:extLst>
        </c:ser>
        <c:ser>
          <c:idx val="28"/>
          <c:order val="28"/>
          <c:tx>
            <c:strRef>
              <c:f>'NOVEMBRO 2025'!$AD$18:$AD$19</c:f>
              <c:strCache>
                <c:ptCount val="2"/>
                <c:pt idx="0">
                  <c:v>IXC - NOVEMBRO 2025 - Financeiro</c:v>
                </c:pt>
                <c:pt idx="1">
                  <c:v>27/11/2025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2025'!$AD$20:$AD$93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16</c:v>
                </c:pt>
                <c:pt idx="2">
                  <c:v>14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5</c:v>
                </c:pt>
                <c:pt idx="27">
                  <c:v>0</c:v>
                </c:pt>
                <c:pt idx="28">
                  <c:v>3</c:v>
                </c:pt>
                <c:pt idx="29">
                  <c:v>6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6</c:v>
                </c:pt>
                <c:pt idx="36">
                  <c:v>0</c:v>
                </c:pt>
                <c:pt idx="37">
                  <c:v>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</c:v>
                </c:pt>
                <c:pt idx="42">
                  <c:v>0</c:v>
                </c:pt>
                <c:pt idx="43">
                  <c:v>3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12</c:v>
                </c:pt>
                <c:pt idx="50">
                  <c:v>3</c:v>
                </c:pt>
                <c:pt idx="51">
                  <c:v>0</c:v>
                </c:pt>
                <c:pt idx="52">
                  <c:v>0</c:v>
                </c:pt>
                <c:pt idx="53">
                  <c:v>5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78B-46FF-8C25-029EC5C3AD5B}"/>
            </c:ext>
          </c:extLst>
        </c:ser>
        <c:ser>
          <c:idx val="29"/>
          <c:order val="29"/>
          <c:tx>
            <c:strRef>
              <c:f>'NOVEMBRO 2025'!$AE$18:$AE$19</c:f>
              <c:strCache>
                <c:ptCount val="2"/>
                <c:pt idx="0">
                  <c:v>IXC - NOVEMBRO 2025 - Financeiro</c:v>
                </c:pt>
                <c:pt idx="1">
                  <c:v>28/11/2025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2025'!$AE$20:$AE$93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3</c:v>
                </c:pt>
                <c:pt idx="7">
                  <c:v>9</c:v>
                </c:pt>
                <c:pt idx="8">
                  <c:v>12</c:v>
                </c:pt>
                <c:pt idx="9">
                  <c:v>0</c:v>
                </c:pt>
                <c:pt idx="10">
                  <c:v>3</c:v>
                </c:pt>
                <c:pt idx="11">
                  <c:v>6</c:v>
                </c:pt>
                <c:pt idx="12">
                  <c:v>0</c:v>
                </c:pt>
                <c:pt idx="13">
                  <c:v>16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2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  <c:pt idx="22">
                  <c:v>1</c:v>
                </c:pt>
                <c:pt idx="23">
                  <c:v>4</c:v>
                </c:pt>
                <c:pt idx="24">
                  <c:v>0</c:v>
                </c:pt>
                <c:pt idx="25">
                  <c:v>18</c:v>
                </c:pt>
                <c:pt idx="26">
                  <c:v>2</c:v>
                </c:pt>
                <c:pt idx="27">
                  <c:v>0</c:v>
                </c:pt>
                <c:pt idx="28">
                  <c:v>2</c:v>
                </c:pt>
                <c:pt idx="29">
                  <c:v>3</c:v>
                </c:pt>
                <c:pt idx="30">
                  <c:v>0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5</c:v>
                </c:pt>
                <c:pt idx="36">
                  <c:v>0</c:v>
                </c:pt>
                <c:pt idx="37">
                  <c:v>16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12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9</c:v>
                </c:pt>
                <c:pt idx="50">
                  <c:v>3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78B-46FF-8C25-029EC5C3AD5B}"/>
            </c:ext>
          </c:extLst>
        </c:ser>
        <c:ser>
          <c:idx val="30"/>
          <c:order val="30"/>
          <c:tx>
            <c:strRef>
              <c:f>'NOVEMBRO 2025'!$AF$18:$AF$19</c:f>
              <c:strCache>
                <c:ptCount val="2"/>
                <c:pt idx="0">
                  <c:v>IXC - NOVEMBRO 2025 - Financeiro</c:v>
                </c:pt>
                <c:pt idx="1">
                  <c:v>29/11/2025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2025'!$AF$20:$AF$93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10</c:v>
                </c:pt>
                <c:pt idx="15">
                  <c:v>0</c:v>
                </c:pt>
                <c:pt idx="16">
                  <c:v>2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8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78B-46FF-8C25-029EC5C3AD5B}"/>
            </c:ext>
          </c:extLst>
        </c:ser>
        <c:ser>
          <c:idx val="31"/>
          <c:order val="31"/>
          <c:tx>
            <c:strRef>
              <c:f>'NOVEMBRO 2025'!$AG$18:$AG$19</c:f>
              <c:strCache>
                <c:ptCount val="2"/>
                <c:pt idx="0">
                  <c:v>IXC - NOVEMBRO 2025 - Financeiro</c:v>
                </c:pt>
                <c:pt idx="1">
                  <c:v>30/11/2025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2025'!$AG$20:$AG$93</c:f>
              <c:numCache>
                <c:formatCode>General</c:formatCode>
                <c:ptCount val="74"/>
                <c:pt idx="0" formatCode="d/m/yy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78B-46FF-8C25-029EC5C3AD5B}"/>
            </c:ext>
          </c:extLst>
        </c:ser>
        <c:ser>
          <c:idx val="32"/>
          <c:order val="32"/>
          <c:tx>
            <c:strRef>
              <c:f>'NOVEMBRO 2025'!$AH$18:$AH$19</c:f>
              <c:strCache>
                <c:ptCount val="2"/>
                <c:pt idx="0">
                  <c:v>IXC - NOVEMBRO 2025 - Financeiro</c:v>
                </c:pt>
                <c:pt idx="1">
                  <c:v>Total por Assunto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2025'!$AH$20:$AH$93</c:f>
              <c:numCache>
                <c:formatCode>General</c:formatCode>
                <c:ptCount val="74"/>
                <c:pt idx="1">
                  <c:v>231</c:v>
                </c:pt>
                <c:pt idx="2">
                  <c:v>326</c:v>
                </c:pt>
                <c:pt idx="3">
                  <c:v>0</c:v>
                </c:pt>
                <c:pt idx="4">
                  <c:v>67</c:v>
                </c:pt>
                <c:pt idx="5">
                  <c:v>272</c:v>
                </c:pt>
                <c:pt idx="6">
                  <c:v>8</c:v>
                </c:pt>
                <c:pt idx="7">
                  <c:v>195</c:v>
                </c:pt>
                <c:pt idx="8">
                  <c:v>247</c:v>
                </c:pt>
                <c:pt idx="9">
                  <c:v>0</c:v>
                </c:pt>
                <c:pt idx="10">
                  <c:v>42</c:v>
                </c:pt>
                <c:pt idx="11">
                  <c:v>173</c:v>
                </c:pt>
                <c:pt idx="12">
                  <c:v>17</c:v>
                </c:pt>
                <c:pt idx="13">
                  <c:v>194</c:v>
                </c:pt>
                <c:pt idx="14">
                  <c:v>105</c:v>
                </c:pt>
                <c:pt idx="15">
                  <c:v>0</c:v>
                </c:pt>
                <c:pt idx="16">
                  <c:v>27</c:v>
                </c:pt>
                <c:pt idx="17">
                  <c:v>122</c:v>
                </c:pt>
                <c:pt idx="18">
                  <c:v>14</c:v>
                </c:pt>
                <c:pt idx="19">
                  <c:v>164</c:v>
                </c:pt>
                <c:pt idx="20">
                  <c:v>122</c:v>
                </c:pt>
                <c:pt idx="21">
                  <c:v>0</c:v>
                </c:pt>
                <c:pt idx="22">
                  <c:v>29</c:v>
                </c:pt>
                <c:pt idx="23">
                  <c:v>124</c:v>
                </c:pt>
                <c:pt idx="24">
                  <c:v>3</c:v>
                </c:pt>
                <c:pt idx="25">
                  <c:v>141</c:v>
                </c:pt>
                <c:pt idx="26">
                  <c:v>81</c:v>
                </c:pt>
                <c:pt idx="27">
                  <c:v>0</c:v>
                </c:pt>
                <c:pt idx="28">
                  <c:v>38</c:v>
                </c:pt>
                <c:pt idx="29">
                  <c:v>116</c:v>
                </c:pt>
                <c:pt idx="30">
                  <c:v>1</c:v>
                </c:pt>
                <c:pt idx="31">
                  <c:v>28</c:v>
                </c:pt>
                <c:pt idx="32">
                  <c:v>18</c:v>
                </c:pt>
                <c:pt idx="33">
                  <c:v>100</c:v>
                </c:pt>
                <c:pt idx="34">
                  <c:v>43</c:v>
                </c:pt>
                <c:pt idx="35">
                  <c:v>98</c:v>
                </c:pt>
                <c:pt idx="36">
                  <c:v>9</c:v>
                </c:pt>
                <c:pt idx="37">
                  <c:v>142</c:v>
                </c:pt>
                <c:pt idx="38">
                  <c:v>4</c:v>
                </c:pt>
                <c:pt idx="39">
                  <c:v>0</c:v>
                </c:pt>
                <c:pt idx="40">
                  <c:v>3</c:v>
                </c:pt>
                <c:pt idx="41">
                  <c:v>47</c:v>
                </c:pt>
                <c:pt idx="42">
                  <c:v>1</c:v>
                </c:pt>
                <c:pt idx="43">
                  <c:v>156</c:v>
                </c:pt>
                <c:pt idx="44">
                  <c:v>8</c:v>
                </c:pt>
                <c:pt idx="45">
                  <c:v>0</c:v>
                </c:pt>
                <c:pt idx="46">
                  <c:v>4</c:v>
                </c:pt>
                <c:pt idx="47">
                  <c:v>21</c:v>
                </c:pt>
                <c:pt idx="48">
                  <c:v>0</c:v>
                </c:pt>
                <c:pt idx="49">
                  <c:v>78</c:v>
                </c:pt>
                <c:pt idx="50">
                  <c:v>46</c:v>
                </c:pt>
                <c:pt idx="51">
                  <c:v>0</c:v>
                </c:pt>
                <c:pt idx="52">
                  <c:v>5</c:v>
                </c:pt>
                <c:pt idx="53">
                  <c:v>48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22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16</c:v>
                </c:pt>
                <c:pt idx="62">
                  <c:v>3</c:v>
                </c:pt>
                <c:pt idx="63">
                  <c:v>48</c:v>
                </c:pt>
                <c:pt idx="64">
                  <c:v>26</c:v>
                </c:pt>
                <c:pt idx="65">
                  <c:v>52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3890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78B-46FF-8C25-029EC5C3AD5B}"/>
            </c:ext>
          </c:extLst>
        </c:ser>
        <c:ser>
          <c:idx val="33"/>
          <c:order val="33"/>
          <c:tx>
            <c:strRef>
              <c:f>'NOVEMBRO 2025'!$AI$18:$AI$19</c:f>
              <c:strCache>
                <c:ptCount val="2"/>
                <c:pt idx="0">
                  <c:v>IXC - NOVEMBRO 2025 - Financeiro</c:v>
                </c:pt>
                <c:pt idx="1">
                  <c:v>Total do Colaborador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'NOVEMBRO 2025'!$A$20:$A$93</c:f>
              <c:strCache>
                <c:ptCount val="74"/>
                <c:pt idx="1">
                  <c:v>Maria Clara</c:v>
                </c:pt>
                <c:pt idx="7">
                  <c:v>Xaiane</c:v>
                </c:pt>
                <c:pt idx="13">
                  <c:v>Caroline Machado</c:v>
                </c:pt>
                <c:pt idx="19">
                  <c:v>Anatercia</c:v>
                </c:pt>
                <c:pt idx="25">
                  <c:v>Ana Caroline </c:v>
                </c:pt>
                <c:pt idx="31">
                  <c:v>Beatriz</c:v>
                </c:pt>
                <c:pt idx="37">
                  <c:v>Laura</c:v>
                </c:pt>
                <c:pt idx="43">
                  <c:v>Luana</c:v>
                </c:pt>
                <c:pt idx="49">
                  <c:v>Camille Victória</c:v>
                </c:pt>
                <c:pt idx="55">
                  <c:v>Camille de Oliveira</c:v>
                </c:pt>
                <c:pt idx="61">
                  <c:v>Juliana Bartholo</c:v>
                </c:pt>
                <c:pt idx="67">
                  <c:v>Lucas Bastos</c:v>
                </c:pt>
                <c:pt idx="73">
                  <c:v>Total</c:v>
                </c:pt>
              </c:strCache>
            </c:strRef>
          </c:cat>
          <c:val>
            <c:numRef>
              <c:f>'NOVEMBRO 2025'!$AI$20:$AI$93</c:f>
              <c:numCache>
                <c:formatCode>General</c:formatCode>
                <c:ptCount val="74"/>
                <c:pt idx="1">
                  <c:v>904</c:v>
                </c:pt>
                <c:pt idx="7">
                  <c:v>674</c:v>
                </c:pt>
                <c:pt idx="13">
                  <c:v>462</c:v>
                </c:pt>
                <c:pt idx="19">
                  <c:v>442</c:v>
                </c:pt>
                <c:pt idx="25">
                  <c:v>377</c:v>
                </c:pt>
                <c:pt idx="31">
                  <c:v>296</c:v>
                </c:pt>
                <c:pt idx="37">
                  <c:v>197</c:v>
                </c:pt>
                <c:pt idx="43">
                  <c:v>189</c:v>
                </c:pt>
                <c:pt idx="49">
                  <c:v>177</c:v>
                </c:pt>
                <c:pt idx="55">
                  <c:v>26</c:v>
                </c:pt>
                <c:pt idx="61">
                  <c:v>146</c:v>
                </c:pt>
                <c:pt idx="67">
                  <c:v>0</c:v>
                </c:pt>
                <c:pt idx="73">
                  <c:v>3890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78B-46FF-8C25-029EC5C3A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7129280"/>
        <c:axId val="2027132640"/>
      </c:barChart>
      <c:catAx>
        <c:axId val="20271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7132640"/>
        <c:crosses val="autoZero"/>
        <c:auto val="1"/>
        <c:lblAlgn val="ctr"/>
        <c:lblOffset val="100"/>
        <c:noMultiLvlLbl val="0"/>
      </c:catAx>
      <c:valAx>
        <c:axId val="20271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71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007460-B637-4F15-B30E-C1B81EF09ECA}">
  <sheetPr/>
  <sheetViews>
    <sheetView zoomScale="6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6885" cy="602273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032FFF-E566-A697-0A16-989AD512DD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0475-5B69-4C30-90B8-D3C75A6E81FF}">
  <dimension ref="A1:AJ63"/>
  <sheetViews>
    <sheetView zoomScale="150" zoomScaleNormal="150" workbookViewId="0">
      <selection activeCell="AB47" sqref="AB47"/>
    </sheetView>
  </sheetViews>
  <sheetFormatPr defaultColWidth="9.140625" defaultRowHeight="12.75" x14ac:dyDescent="0.25"/>
  <cols>
    <col min="1" max="1" width="9.28515625" style="2" customWidth="1"/>
    <col min="2" max="2" width="23" style="2" bestFit="1" customWidth="1"/>
    <col min="3" max="3" width="4" style="2" bestFit="1" customWidth="1"/>
    <col min="4" max="4" width="5.140625" style="2" bestFit="1" customWidth="1"/>
    <col min="5" max="5" width="5.28515625" style="2" customWidth="1"/>
    <col min="6" max="6" width="4.85546875" style="2" customWidth="1"/>
    <col min="7" max="7" width="3.42578125" style="2" bestFit="1" customWidth="1"/>
    <col min="8" max="9" width="4" style="2" customWidth="1"/>
    <col min="10" max="11" width="4.140625" style="2" customWidth="1"/>
    <col min="12" max="13" width="4" style="2" customWidth="1"/>
    <col min="14" max="14" width="4" style="19" customWidth="1"/>
    <col min="15" max="18" width="4" style="2" customWidth="1"/>
    <col min="19" max="19" width="4.140625" style="2" customWidth="1"/>
    <col min="20" max="21" width="4" style="2" customWidth="1"/>
    <col min="22" max="23" width="4" style="2" bestFit="1" customWidth="1"/>
    <col min="24" max="24" width="4" style="2" customWidth="1"/>
    <col min="25" max="25" width="5" style="2" customWidth="1"/>
    <col min="26" max="26" width="4.5703125" style="2" customWidth="1"/>
    <col min="27" max="27" width="4.140625" style="2" customWidth="1"/>
    <col min="28" max="28" width="4.85546875" style="2" customWidth="1"/>
    <col min="29" max="29" width="4.28515625" style="2" customWidth="1"/>
    <col min="30" max="30" width="5" style="2" customWidth="1"/>
    <col min="31" max="33" width="4.85546875" style="2" customWidth="1"/>
    <col min="34" max="34" width="5" style="2" customWidth="1"/>
    <col min="35" max="35" width="5.140625" style="2" customWidth="1"/>
    <col min="36" max="36" width="7.85546875" style="2" customWidth="1"/>
    <col min="37" max="16384" width="9.140625" style="2"/>
  </cols>
  <sheetData>
    <row r="1" spans="1:35" ht="22.5" customHeight="1" thickBot="1" x14ac:dyDescent="0.3">
      <c r="A1" s="76" t="s">
        <v>40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35" ht="59.25" customHeight="1" x14ac:dyDescent="0.25">
      <c r="A2" s="77" t="s">
        <v>0</v>
      </c>
      <c r="B2" s="78"/>
      <c r="C2" s="11">
        <v>45658</v>
      </c>
      <c r="D2" s="11">
        <v>45659</v>
      </c>
      <c r="E2" s="11">
        <v>45660</v>
      </c>
      <c r="F2" s="11">
        <v>45661</v>
      </c>
      <c r="G2" s="11">
        <v>45662</v>
      </c>
      <c r="H2" s="11">
        <v>45663</v>
      </c>
      <c r="I2" s="11">
        <v>45664</v>
      </c>
      <c r="J2" s="11">
        <v>45665</v>
      </c>
      <c r="K2" s="11">
        <v>45666</v>
      </c>
      <c r="L2" s="11">
        <v>45667</v>
      </c>
      <c r="M2" s="11">
        <v>45668</v>
      </c>
      <c r="N2" s="11">
        <v>45669</v>
      </c>
      <c r="O2" s="11">
        <v>45670</v>
      </c>
      <c r="P2" s="11">
        <v>45671</v>
      </c>
      <c r="Q2" s="11">
        <v>45672</v>
      </c>
      <c r="R2" s="11">
        <v>45673</v>
      </c>
      <c r="S2" s="11">
        <v>45674</v>
      </c>
      <c r="T2" s="11">
        <v>45675</v>
      </c>
      <c r="U2" s="11">
        <v>45676</v>
      </c>
      <c r="V2" s="11">
        <v>45677</v>
      </c>
      <c r="W2" s="11">
        <v>45678</v>
      </c>
      <c r="X2" s="11">
        <v>45679</v>
      </c>
      <c r="Y2" s="11">
        <v>45680</v>
      </c>
      <c r="Z2" s="11">
        <v>45681</v>
      </c>
      <c r="AA2" s="11">
        <v>45682</v>
      </c>
      <c r="AB2" s="11">
        <v>45683</v>
      </c>
      <c r="AC2" s="11">
        <v>45684</v>
      </c>
      <c r="AD2" s="11">
        <v>45685</v>
      </c>
      <c r="AE2" s="11">
        <v>45686</v>
      </c>
      <c r="AF2" s="11">
        <v>45687</v>
      </c>
      <c r="AG2" s="11">
        <v>45688</v>
      </c>
      <c r="AH2" s="81" t="s">
        <v>1</v>
      </c>
      <c r="AI2" s="82"/>
    </row>
    <row r="3" spans="1:35" ht="71.25" customHeight="1" x14ac:dyDescent="0.25">
      <c r="A3" s="79"/>
      <c r="B3" s="80"/>
      <c r="C3" s="12" t="s">
        <v>5</v>
      </c>
      <c r="D3" s="12" t="s">
        <v>6</v>
      </c>
      <c r="E3" s="12" t="s">
        <v>7</v>
      </c>
      <c r="F3" s="12" t="s">
        <v>8</v>
      </c>
      <c r="G3" s="12" t="s">
        <v>2</v>
      </c>
      <c r="H3" s="12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2</v>
      </c>
      <c r="O3" s="12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2" t="s">
        <v>2</v>
      </c>
      <c r="V3" s="12" t="s">
        <v>3</v>
      </c>
      <c r="W3" s="12" t="s">
        <v>4</v>
      </c>
      <c r="X3" s="12" t="s">
        <v>5</v>
      </c>
      <c r="Y3" s="12" t="s">
        <v>6</v>
      </c>
      <c r="Z3" s="12" t="s">
        <v>7</v>
      </c>
      <c r="AA3" s="12" t="s">
        <v>8</v>
      </c>
      <c r="AB3" s="12" t="s">
        <v>2</v>
      </c>
      <c r="AC3" s="12" t="s">
        <v>3</v>
      </c>
      <c r="AD3" s="12" t="s">
        <v>4</v>
      </c>
      <c r="AE3" s="12" t="s">
        <v>5</v>
      </c>
      <c r="AF3" s="12" t="s">
        <v>6</v>
      </c>
      <c r="AG3" s="12" t="s">
        <v>7</v>
      </c>
      <c r="AH3" s="83"/>
      <c r="AI3" s="84"/>
    </row>
    <row r="4" spans="1:35" x14ac:dyDescent="0.25">
      <c r="A4" s="72" t="s">
        <v>38</v>
      </c>
      <c r="B4" s="73"/>
      <c r="C4" s="3">
        <v>11</v>
      </c>
      <c r="D4" s="13">
        <v>142</v>
      </c>
      <c r="E4" s="13">
        <v>179</v>
      </c>
      <c r="F4" s="13">
        <v>146</v>
      </c>
      <c r="G4" s="13" t="s">
        <v>9</v>
      </c>
      <c r="H4" s="13">
        <v>80</v>
      </c>
      <c r="I4" s="13">
        <v>40</v>
      </c>
      <c r="J4" s="13">
        <v>64</v>
      </c>
      <c r="K4" s="13">
        <v>82</v>
      </c>
      <c r="L4" s="3">
        <v>73</v>
      </c>
      <c r="M4" s="13" t="s">
        <v>9</v>
      </c>
      <c r="N4" s="18" t="s">
        <v>9</v>
      </c>
      <c r="O4" s="18" t="s">
        <v>30</v>
      </c>
      <c r="P4" s="18" t="s">
        <v>30</v>
      </c>
      <c r="Q4" s="18">
        <v>8</v>
      </c>
      <c r="R4" s="18">
        <v>7</v>
      </c>
      <c r="S4" s="18">
        <v>88</v>
      </c>
      <c r="T4" s="13">
        <v>67</v>
      </c>
      <c r="U4" s="17" t="s">
        <v>9</v>
      </c>
      <c r="V4" s="13">
        <v>168</v>
      </c>
      <c r="W4" s="3">
        <v>124</v>
      </c>
      <c r="X4" s="3">
        <v>83</v>
      </c>
      <c r="Y4" s="13">
        <v>139</v>
      </c>
      <c r="Z4" s="13">
        <v>152</v>
      </c>
      <c r="AA4" s="13" t="s">
        <v>9</v>
      </c>
      <c r="AB4" s="17" t="s">
        <v>9</v>
      </c>
      <c r="AC4" s="13">
        <v>133</v>
      </c>
      <c r="AD4" s="3">
        <v>176</v>
      </c>
      <c r="AE4" s="3">
        <v>242</v>
      </c>
      <c r="AF4" s="13">
        <v>169</v>
      </c>
      <c r="AG4" s="3">
        <v>128</v>
      </c>
      <c r="AH4" s="74">
        <f t="shared" ref="AH4:AH11" si="0">SUM(C4:AG4)</f>
        <v>2501</v>
      </c>
      <c r="AI4" s="75"/>
    </row>
    <row r="5" spans="1:35" x14ac:dyDescent="0.25">
      <c r="A5" s="72" t="s">
        <v>32</v>
      </c>
      <c r="B5" s="73"/>
      <c r="C5" s="3" t="s">
        <v>9</v>
      </c>
      <c r="D5" s="3" t="s">
        <v>9</v>
      </c>
      <c r="E5" s="13">
        <v>368</v>
      </c>
      <c r="F5" s="13">
        <v>232</v>
      </c>
      <c r="G5" s="13" t="s">
        <v>9</v>
      </c>
      <c r="H5" s="13">
        <v>126</v>
      </c>
      <c r="I5" s="3">
        <v>78</v>
      </c>
      <c r="J5" s="13">
        <v>82</v>
      </c>
      <c r="K5" s="13">
        <v>148</v>
      </c>
      <c r="L5" s="3">
        <v>75</v>
      </c>
      <c r="M5" s="13" t="s">
        <v>9</v>
      </c>
      <c r="N5" s="17" t="s">
        <v>9</v>
      </c>
      <c r="O5" s="17">
        <v>84</v>
      </c>
      <c r="P5" s="3">
        <v>81</v>
      </c>
      <c r="Q5" s="17" t="s">
        <v>9</v>
      </c>
      <c r="R5" s="13">
        <v>54</v>
      </c>
      <c r="S5" s="13">
        <v>15</v>
      </c>
      <c r="T5" s="13">
        <v>64</v>
      </c>
      <c r="U5" s="17" t="s">
        <v>9</v>
      </c>
      <c r="V5" s="17" t="s">
        <v>9</v>
      </c>
      <c r="W5" s="3">
        <v>94</v>
      </c>
      <c r="X5" s="3">
        <v>77</v>
      </c>
      <c r="Y5" s="13">
        <v>110</v>
      </c>
      <c r="Z5" s="13">
        <v>101</v>
      </c>
      <c r="AA5" s="13" t="s">
        <v>9</v>
      </c>
      <c r="AB5" s="17" t="s">
        <v>9</v>
      </c>
      <c r="AC5" s="13">
        <v>94</v>
      </c>
      <c r="AD5" s="13">
        <v>101</v>
      </c>
      <c r="AE5" s="3">
        <v>208</v>
      </c>
      <c r="AF5" s="3">
        <v>79</v>
      </c>
      <c r="AG5" s="3">
        <v>75</v>
      </c>
      <c r="AH5" s="74">
        <f t="shared" ref="AH5" si="1">SUM(C5:AG5)</f>
        <v>2346</v>
      </c>
      <c r="AI5" s="75"/>
    </row>
    <row r="6" spans="1:35" x14ac:dyDescent="0.25">
      <c r="A6" s="72" t="s">
        <v>39</v>
      </c>
      <c r="B6" s="73"/>
      <c r="C6" s="3" t="s">
        <v>9</v>
      </c>
      <c r="D6" s="13">
        <v>112</v>
      </c>
      <c r="E6" s="3">
        <v>102</v>
      </c>
      <c r="F6" s="3" t="s">
        <v>9</v>
      </c>
      <c r="G6" s="13" t="s">
        <v>9</v>
      </c>
      <c r="H6" s="13">
        <v>66</v>
      </c>
      <c r="I6" s="3">
        <v>60</v>
      </c>
      <c r="J6" s="13">
        <v>86</v>
      </c>
      <c r="K6" s="13">
        <v>53</v>
      </c>
      <c r="L6" s="3">
        <v>42</v>
      </c>
      <c r="M6" s="13" t="s">
        <v>9</v>
      </c>
      <c r="N6" s="18" t="s">
        <v>9</v>
      </c>
      <c r="O6" s="18">
        <v>72</v>
      </c>
      <c r="P6" s="13">
        <v>44</v>
      </c>
      <c r="Q6" s="3">
        <v>43</v>
      </c>
      <c r="R6" s="13">
        <v>24</v>
      </c>
      <c r="S6" s="13">
        <v>11</v>
      </c>
      <c r="T6" s="13" t="s">
        <v>9</v>
      </c>
      <c r="U6" s="17" t="s">
        <v>9</v>
      </c>
      <c r="V6" s="13">
        <v>108</v>
      </c>
      <c r="W6" s="3">
        <v>85</v>
      </c>
      <c r="X6" s="3">
        <v>68</v>
      </c>
      <c r="Y6" s="13">
        <v>133</v>
      </c>
      <c r="Z6" s="13">
        <v>68</v>
      </c>
      <c r="AA6" s="13" t="s">
        <v>9</v>
      </c>
      <c r="AB6" s="17" t="s">
        <v>9</v>
      </c>
      <c r="AC6" s="13">
        <v>190</v>
      </c>
      <c r="AD6" s="3">
        <v>209</v>
      </c>
      <c r="AE6" s="3">
        <v>235</v>
      </c>
      <c r="AF6" s="13">
        <v>194</v>
      </c>
      <c r="AG6" s="3">
        <v>62</v>
      </c>
      <c r="AH6" s="74">
        <f>SUM(C6:AG6)</f>
        <v>2067</v>
      </c>
      <c r="AI6" s="75"/>
    </row>
    <row r="7" spans="1:35" x14ac:dyDescent="0.25">
      <c r="A7" s="72" t="s">
        <v>35</v>
      </c>
      <c r="B7" s="73"/>
      <c r="C7" s="3">
        <v>19</v>
      </c>
      <c r="D7" s="3">
        <v>183</v>
      </c>
      <c r="E7" s="3">
        <v>96</v>
      </c>
      <c r="F7" s="3" t="s">
        <v>9</v>
      </c>
      <c r="G7" s="3" t="s">
        <v>9</v>
      </c>
      <c r="H7" s="13">
        <v>75</v>
      </c>
      <c r="I7" s="3">
        <v>44</v>
      </c>
      <c r="J7" s="3">
        <v>61</v>
      </c>
      <c r="K7" s="3">
        <v>67</v>
      </c>
      <c r="L7" s="3">
        <v>42</v>
      </c>
      <c r="M7" s="3" t="s">
        <v>9</v>
      </c>
      <c r="N7" s="17" t="s">
        <v>9</v>
      </c>
      <c r="O7" s="17" t="s">
        <v>9</v>
      </c>
      <c r="P7" s="3">
        <v>47</v>
      </c>
      <c r="Q7" s="3">
        <v>50</v>
      </c>
      <c r="R7" s="3">
        <v>39</v>
      </c>
      <c r="S7" s="3">
        <v>23</v>
      </c>
      <c r="T7" s="3" t="s">
        <v>9</v>
      </c>
      <c r="U7" s="17" t="s">
        <v>9</v>
      </c>
      <c r="V7" s="3">
        <v>100</v>
      </c>
      <c r="W7" s="3">
        <v>56</v>
      </c>
      <c r="X7" s="3">
        <v>72</v>
      </c>
      <c r="Y7" s="3">
        <v>122</v>
      </c>
      <c r="Z7" s="3">
        <v>101</v>
      </c>
      <c r="AA7" s="3" t="s">
        <v>9</v>
      </c>
      <c r="AB7" s="17" t="s">
        <v>9</v>
      </c>
      <c r="AC7" s="3">
        <v>108</v>
      </c>
      <c r="AD7" s="3">
        <v>167</v>
      </c>
      <c r="AE7" s="3">
        <v>149</v>
      </c>
      <c r="AF7" s="3">
        <v>148</v>
      </c>
      <c r="AG7" s="3" t="s">
        <v>9</v>
      </c>
      <c r="AH7" s="74">
        <f>SUM(C7:AG7)</f>
        <v>1769</v>
      </c>
      <c r="AI7" s="75"/>
    </row>
    <row r="8" spans="1:35" x14ac:dyDescent="0.25">
      <c r="A8" s="72" t="s">
        <v>34</v>
      </c>
      <c r="B8" s="73"/>
      <c r="C8" s="3" t="s">
        <v>9</v>
      </c>
      <c r="D8" s="3">
        <v>125</v>
      </c>
      <c r="E8" s="3">
        <v>116</v>
      </c>
      <c r="F8" s="3">
        <v>55</v>
      </c>
      <c r="G8" s="3" t="s">
        <v>9</v>
      </c>
      <c r="H8" s="13">
        <v>54</v>
      </c>
      <c r="I8" s="3">
        <v>26</v>
      </c>
      <c r="J8" s="13">
        <v>73</v>
      </c>
      <c r="K8" s="3">
        <v>75</v>
      </c>
      <c r="L8" s="3">
        <v>54</v>
      </c>
      <c r="M8" s="3" t="s">
        <v>37</v>
      </c>
      <c r="N8" s="17" t="s">
        <v>9</v>
      </c>
      <c r="O8" s="17">
        <v>64</v>
      </c>
      <c r="P8" s="3">
        <v>62</v>
      </c>
      <c r="Q8" s="17" t="s">
        <v>9</v>
      </c>
      <c r="R8" s="3">
        <v>45</v>
      </c>
      <c r="S8" s="3">
        <v>16</v>
      </c>
      <c r="T8" s="13">
        <v>26</v>
      </c>
      <c r="U8" s="17" t="s">
        <v>9</v>
      </c>
      <c r="V8" s="3">
        <v>96</v>
      </c>
      <c r="W8" s="3">
        <v>64</v>
      </c>
      <c r="X8" s="3">
        <v>44</v>
      </c>
      <c r="Y8" s="3">
        <v>107</v>
      </c>
      <c r="Z8" s="3">
        <v>94</v>
      </c>
      <c r="AA8" s="3">
        <v>74</v>
      </c>
      <c r="AB8" s="17" t="s">
        <v>9</v>
      </c>
      <c r="AC8" s="3">
        <v>47</v>
      </c>
      <c r="AD8" s="3">
        <v>114</v>
      </c>
      <c r="AE8" s="3">
        <v>97</v>
      </c>
      <c r="AF8" s="3">
        <v>157</v>
      </c>
      <c r="AG8" s="3">
        <v>95</v>
      </c>
      <c r="AH8" s="74">
        <f t="shared" si="0"/>
        <v>1780</v>
      </c>
      <c r="AI8" s="75"/>
    </row>
    <row r="9" spans="1:35" x14ac:dyDescent="0.25">
      <c r="A9" s="72" t="s">
        <v>33</v>
      </c>
      <c r="B9" s="73"/>
      <c r="C9" s="3" t="s">
        <v>9</v>
      </c>
      <c r="D9" s="3">
        <v>204</v>
      </c>
      <c r="E9" s="3">
        <v>117</v>
      </c>
      <c r="F9" s="3">
        <v>84</v>
      </c>
      <c r="G9" s="3" t="s">
        <v>9</v>
      </c>
      <c r="H9" s="13">
        <v>49</v>
      </c>
      <c r="I9" s="3">
        <v>24</v>
      </c>
      <c r="J9" s="13">
        <v>58</v>
      </c>
      <c r="K9" s="3">
        <v>32</v>
      </c>
      <c r="L9" s="3">
        <v>23</v>
      </c>
      <c r="M9" s="3" t="s">
        <v>9</v>
      </c>
      <c r="N9" s="17" t="s">
        <v>9</v>
      </c>
      <c r="O9" s="17">
        <v>79</v>
      </c>
      <c r="P9" s="18">
        <v>33</v>
      </c>
      <c r="Q9" s="18" t="s">
        <v>30</v>
      </c>
      <c r="R9" s="3">
        <v>17</v>
      </c>
      <c r="S9" s="3">
        <v>7</v>
      </c>
      <c r="T9" s="13">
        <v>43</v>
      </c>
      <c r="U9" s="17" t="s">
        <v>9</v>
      </c>
      <c r="V9" s="3">
        <v>46</v>
      </c>
      <c r="W9" s="3">
        <v>40</v>
      </c>
      <c r="X9" s="3">
        <v>30</v>
      </c>
      <c r="Y9" s="3">
        <v>142</v>
      </c>
      <c r="Z9" s="3">
        <v>61</v>
      </c>
      <c r="AA9" s="3" t="s">
        <v>9</v>
      </c>
      <c r="AB9" s="17" t="s">
        <v>9</v>
      </c>
      <c r="AC9" s="3">
        <v>51</v>
      </c>
      <c r="AD9" s="3">
        <v>175</v>
      </c>
      <c r="AE9" s="3">
        <v>121</v>
      </c>
      <c r="AF9" s="3">
        <v>178</v>
      </c>
      <c r="AG9" s="3">
        <v>111</v>
      </c>
      <c r="AH9" s="74">
        <f t="shared" ref="AH9" si="2">SUM(C9:AG9)</f>
        <v>1725</v>
      </c>
      <c r="AI9" s="75"/>
    </row>
    <row r="10" spans="1:35" x14ac:dyDescent="0.25">
      <c r="A10" s="72" t="s">
        <v>36</v>
      </c>
      <c r="B10" s="73"/>
      <c r="C10" s="3" t="s">
        <v>9</v>
      </c>
      <c r="D10" s="3">
        <v>220</v>
      </c>
      <c r="E10" s="3">
        <v>207</v>
      </c>
      <c r="F10" s="3">
        <v>205</v>
      </c>
      <c r="G10" s="3" t="s">
        <v>9</v>
      </c>
      <c r="H10" s="13">
        <v>135</v>
      </c>
      <c r="I10" s="3">
        <v>71</v>
      </c>
      <c r="J10" s="3">
        <v>29</v>
      </c>
      <c r="K10" s="3">
        <v>6</v>
      </c>
      <c r="L10" s="3">
        <v>23</v>
      </c>
      <c r="M10" s="3" t="s">
        <v>9</v>
      </c>
      <c r="N10" s="17" t="s">
        <v>9</v>
      </c>
      <c r="O10" s="17">
        <v>7</v>
      </c>
      <c r="P10" s="3">
        <v>19</v>
      </c>
      <c r="Q10" s="3">
        <v>12</v>
      </c>
      <c r="R10" s="3">
        <v>17</v>
      </c>
      <c r="S10" s="3">
        <v>11</v>
      </c>
      <c r="T10" s="3">
        <v>40</v>
      </c>
      <c r="U10" s="17" t="s">
        <v>9</v>
      </c>
      <c r="V10" s="3">
        <v>55</v>
      </c>
      <c r="W10" s="3">
        <v>64</v>
      </c>
      <c r="X10" s="3">
        <v>23</v>
      </c>
      <c r="Y10" s="3">
        <v>24</v>
      </c>
      <c r="Z10" s="3">
        <v>27</v>
      </c>
      <c r="AA10" s="3" t="s">
        <v>9</v>
      </c>
      <c r="AB10" s="17" t="s">
        <v>9</v>
      </c>
      <c r="AC10" s="3">
        <v>107</v>
      </c>
      <c r="AD10" s="3">
        <v>53</v>
      </c>
      <c r="AE10" s="3">
        <v>20</v>
      </c>
      <c r="AF10" s="3">
        <v>19</v>
      </c>
      <c r="AG10" s="3">
        <v>87</v>
      </c>
      <c r="AH10" s="74">
        <f>SUM(C10:AG10)</f>
        <v>1481</v>
      </c>
      <c r="AI10" s="75"/>
    </row>
    <row r="11" spans="1:35" x14ac:dyDescent="0.25">
      <c r="A11" s="72" t="s">
        <v>23</v>
      </c>
      <c r="B11" s="73"/>
      <c r="C11" s="3" t="s">
        <v>9</v>
      </c>
      <c r="D11" s="13">
        <v>219</v>
      </c>
      <c r="E11" s="13">
        <v>155</v>
      </c>
      <c r="F11" s="3" t="s">
        <v>9</v>
      </c>
      <c r="G11" s="13" t="s">
        <v>9</v>
      </c>
      <c r="H11" s="13">
        <v>77</v>
      </c>
      <c r="I11" s="13">
        <v>42</v>
      </c>
      <c r="J11" s="13">
        <v>98</v>
      </c>
      <c r="K11" s="13">
        <v>42</v>
      </c>
      <c r="L11" s="3">
        <v>31</v>
      </c>
      <c r="M11" s="13">
        <v>15</v>
      </c>
      <c r="N11" s="18" t="s">
        <v>9</v>
      </c>
      <c r="O11" s="18">
        <v>65</v>
      </c>
      <c r="P11" s="13">
        <v>36</v>
      </c>
      <c r="Q11" s="3">
        <v>13</v>
      </c>
      <c r="R11" s="13">
        <v>11</v>
      </c>
      <c r="S11" s="18" t="s">
        <v>30</v>
      </c>
      <c r="T11" s="13" t="s">
        <v>9</v>
      </c>
      <c r="U11" s="17" t="s">
        <v>9</v>
      </c>
      <c r="V11" s="13">
        <v>80</v>
      </c>
      <c r="W11" s="3">
        <v>43</v>
      </c>
      <c r="X11" s="18" t="s">
        <v>30</v>
      </c>
      <c r="Y11" s="13">
        <v>127</v>
      </c>
      <c r="Z11" s="13">
        <v>97</v>
      </c>
      <c r="AA11" s="13">
        <v>62</v>
      </c>
      <c r="AB11" s="17" t="s">
        <v>9</v>
      </c>
      <c r="AC11" s="13">
        <v>62</v>
      </c>
      <c r="AD11" s="13" t="s">
        <v>9</v>
      </c>
      <c r="AE11" s="3">
        <v>27</v>
      </c>
      <c r="AF11" s="13" t="s">
        <v>9</v>
      </c>
      <c r="AG11" s="3" t="s">
        <v>9</v>
      </c>
      <c r="AH11" s="74">
        <f t="shared" si="0"/>
        <v>1302</v>
      </c>
      <c r="AI11" s="75"/>
    </row>
    <row r="12" spans="1:35" x14ac:dyDescent="0.25">
      <c r="A12" s="72" t="s">
        <v>24</v>
      </c>
      <c r="B12" s="73"/>
      <c r="C12" s="3" t="s">
        <v>9</v>
      </c>
      <c r="D12" s="3">
        <v>106</v>
      </c>
      <c r="E12" s="3">
        <v>66</v>
      </c>
      <c r="F12" s="3">
        <v>83</v>
      </c>
      <c r="G12" s="3" t="s">
        <v>9</v>
      </c>
      <c r="H12" s="3">
        <v>30</v>
      </c>
      <c r="I12" s="3">
        <v>1</v>
      </c>
      <c r="J12" s="13">
        <v>5</v>
      </c>
      <c r="K12" s="3">
        <v>1</v>
      </c>
      <c r="L12" s="3">
        <v>4</v>
      </c>
      <c r="M12" s="3" t="s">
        <v>9</v>
      </c>
      <c r="N12" s="17" t="s">
        <v>9</v>
      </c>
      <c r="O12" s="17">
        <v>6</v>
      </c>
      <c r="P12" s="3">
        <v>4</v>
      </c>
      <c r="Q12" s="3">
        <v>1</v>
      </c>
      <c r="R12" s="3">
        <v>8</v>
      </c>
      <c r="S12" s="3">
        <v>4</v>
      </c>
      <c r="T12" s="3">
        <v>7</v>
      </c>
      <c r="U12" s="17" t="s">
        <v>9</v>
      </c>
      <c r="V12" s="3">
        <v>59</v>
      </c>
      <c r="W12" s="3">
        <v>22</v>
      </c>
      <c r="X12" s="3">
        <v>59</v>
      </c>
      <c r="Y12" s="3">
        <v>89</v>
      </c>
      <c r="Z12" s="3">
        <v>70</v>
      </c>
      <c r="AA12" s="3" t="s">
        <v>9</v>
      </c>
      <c r="AB12" s="17" t="s">
        <v>9</v>
      </c>
      <c r="AC12" s="3">
        <v>57</v>
      </c>
      <c r="AD12" s="3">
        <v>147</v>
      </c>
      <c r="AE12" s="3">
        <v>102</v>
      </c>
      <c r="AF12" s="3">
        <v>87</v>
      </c>
      <c r="AG12" s="3">
        <v>119</v>
      </c>
      <c r="AH12" s="74">
        <f>SUM(C12:AG12)</f>
        <v>1137</v>
      </c>
      <c r="AI12" s="75"/>
    </row>
    <row r="13" spans="1:35" x14ac:dyDescent="0.25">
      <c r="A13" s="72" t="s">
        <v>22</v>
      </c>
      <c r="B13" s="73"/>
      <c r="C13" s="3" t="s">
        <v>9</v>
      </c>
      <c r="D13" s="3">
        <v>193</v>
      </c>
      <c r="E13" s="3">
        <v>82</v>
      </c>
      <c r="F13" s="3" t="s">
        <v>9</v>
      </c>
      <c r="G13" s="3" t="s">
        <v>9</v>
      </c>
      <c r="H13" s="13">
        <v>57</v>
      </c>
      <c r="I13" s="3">
        <v>27</v>
      </c>
      <c r="J13" s="3">
        <v>3</v>
      </c>
      <c r="K13" s="3">
        <v>2</v>
      </c>
      <c r="L13" s="3">
        <v>1</v>
      </c>
      <c r="M13" s="3">
        <v>3</v>
      </c>
      <c r="N13" s="17" t="s">
        <v>9</v>
      </c>
      <c r="O13" s="17">
        <v>2</v>
      </c>
      <c r="P13" s="3">
        <v>2</v>
      </c>
      <c r="Q13" s="17" t="s">
        <v>9</v>
      </c>
      <c r="R13" s="3">
        <v>0</v>
      </c>
      <c r="S13" s="3">
        <v>0</v>
      </c>
      <c r="T13" s="3" t="s">
        <v>9</v>
      </c>
      <c r="U13" s="17" t="s">
        <v>9</v>
      </c>
      <c r="V13" s="3">
        <v>52</v>
      </c>
      <c r="W13" s="3">
        <v>48</v>
      </c>
      <c r="X13" s="3">
        <v>22</v>
      </c>
      <c r="Y13" s="3">
        <v>60</v>
      </c>
      <c r="Z13" s="3">
        <v>46</v>
      </c>
      <c r="AA13" s="3">
        <v>38</v>
      </c>
      <c r="AB13" s="17" t="s">
        <v>9</v>
      </c>
      <c r="AC13" s="3">
        <v>0</v>
      </c>
      <c r="AD13" s="3">
        <v>113</v>
      </c>
      <c r="AE13" s="3">
        <v>142</v>
      </c>
      <c r="AF13" s="3">
        <v>120</v>
      </c>
      <c r="AG13" s="3">
        <v>10</v>
      </c>
      <c r="AH13" s="74">
        <f>SUM(C13:AG13)</f>
        <v>1023</v>
      </c>
      <c r="AI13" s="75"/>
    </row>
    <row r="14" spans="1:35" x14ac:dyDescent="0.25">
      <c r="A14" s="72" t="s">
        <v>26</v>
      </c>
      <c r="B14" s="73"/>
      <c r="C14" s="3" t="s">
        <v>9</v>
      </c>
      <c r="D14" s="3">
        <v>21</v>
      </c>
      <c r="E14" s="3">
        <v>12</v>
      </c>
      <c r="F14" s="3" t="s">
        <v>9</v>
      </c>
      <c r="G14" s="3" t="s">
        <v>9</v>
      </c>
      <c r="H14" s="13">
        <v>6</v>
      </c>
      <c r="I14" s="3">
        <v>9</v>
      </c>
      <c r="J14" s="13">
        <v>6</v>
      </c>
      <c r="K14" s="3">
        <v>1</v>
      </c>
      <c r="L14" s="3">
        <v>5</v>
      </c>
      <c r="M14" s="3">
        <v>10</v>
      </c>
      <c r="N14" s="17" t="s">
        <v>9</v>
      </c>
      <c r="O14" s="17">
        <v>18</v>
      </c>
      <c r="P14" s="3">
        <v>8</v>
      </c>
      <c r="Q14" s="3">
        <v>5</v>
      </c>
      <c r="R14" s="3">
        <v>9</v>
      </c>
      <c r="S14" s="3">
        <v>1</v>
      </c>
      <c r="T14" s="13" t="s">
        <v>9</v>
      </c>
      <c r="U14" s="17" t="s">
        <v>9</v>
      </c>
      <c r="V14" s="3">
        <v>4</v>
      </c>
      <c r="W14" s="13">
        <v>5</v>
      </c>
      <c r="X14" s="3">
        <v>3</v>
      </c>
      <c r="Y14" s="3">
        <v>5</v>
      </c>
      <c r="Z14" s="3">
        <v>3</v>
      </c>
      <c r="AA14" s="3">
        <v>9</v>
      </c>
      <c r="AB14" s="17" t="s">
        <v>9</v>
      </c>
      <c r="AC14" s="3">
        <v>7</v>
      </c>
      <c r="AD14" s="3">
        <v>3</v>
      </c>
      <c r="AE14" s="3">
        <v>63</v>
      </c>
      <c r="AF14" s="3">
        <v>34</v>
      </c>
      <c r="AG14" s="3">
        <v>2</v>
      </c>
      <c r="AH14" s="74">
        <f>SUM(C14:AG14)</f>
        <v>249</v>
      </c>
      <c r="AI14" s="75"/>
    </row>
    <row r="15" spans="1:35" x14ac:dyDescent="0.25">
      <c r="A15" s="72" t="s">
        <v>25</v>
      </c>
      <c r="B15" s="73"/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>
        <v>10</v>
      </c>
      <c r="M15" s="3" t="s">
        <v>9</v>
      </c>
      <c r="N15" s="17" t="s">
        <v>9</v>
      </c>
      <c r="O15" s="17">
        <v>13</v>
      </c>
      <c r="P15" s="3">
        <v>5</v>
      </c>
      <c r="Q15" s="3">
        <v>10</v>
      </c>
      <c r="R15" s="3">
        <v>7</v>
      </c>
      <c r="S15" s="3">
        <v>1</v>
      </c>
      <c r="T15" s="3" t="s">
        <v>9</v>
      </c>
      <c r="U15" s="17" t="s">
        <v>9</v>
      </c>
      <c r="V15" s="3">
        <v>4</v>
      </c>
      <c r="W15" s="13">
        <v>14</v>
      </c>
      <c r="X15" s="3">
        <v>4</v>
      </c>
      <c r="Y15" s="3">
        <v>1</v>
      </c>
      <c r="Z15" s="3">
        <v>1</v>
      </c>
      <c r="AA15" s="3" t="s">
        <v>9</v>
      </c>
      <c r="AB15" s="17" t="s">
        <v>9</v>
      </c>
      <c r="AC15" s="3">
        <v>1</v>
      </c>
      <c r="AD15" s="3">
        <v>7</v>
      </c>
      <c r="AE15" s="3">
        <v>7</v>
      </c>
      <c r="AF15" s="3">
        <v>12</v>
      </c>
      <c r="AG15" s="3">
        <v>32</v>
      </c>
      <c r="AH15" s="74">
        <f t="shared" ref="AH15" si="3">SUM(C15:AG15)</f>
        <v>129</v>
      </c>
      <c r="AI15" s="75"/>
    </row>
    <row r="16" spans="1:35" x14ac:dyDescent="0.25">
      <c r="A16" s="72" t="s">
        <v>42</v>
      </c>
      <c r="B16" s="73"/>
      <c r="C16" s="3" t="s">
        <v>9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  <c r="K16" s="3" t="s">
        <v>10</v>
      </c>
      <c r="L16" s="3" t="s">
        <v>10</v>
      </c>
      <c r="M16" s="3" t="s">
        <v>10</v>
      </c>
      <c r="N16" s="3" t="s">
        <v>10</v>
      </c>
      <c r="O16" s="3" t="s">
        <v>10</v>
      </c>
      <c r="P16" s="3" t="s">
        <v>10</v>
      </c>
      <c r="Q16" s="3" t="s">
        <v>10</v>
      </c>
      <c r="R16" s="3" t="s">
        <v>10</v>
      </c>
      <c r="S16" s="3" t="s">
        <v>10</v>
      </c>
      <c r="T16" s="3" t="s">
        <v>10</v>
      </c>
      <c r="U16" s="3" t="s">
        <v>10</v>
      </c>
      <c r="V16" s="3" t="s">
        <v>10</v>
      </c>
      <c r="W16" s="3" t="s">
        <v>10</v>
      </c>
      <c r="X16" s="3" t="s">
        <v>10</v>
      </c>
      <c r="Y16" s="3" t="s">
        <v>10</v>
      </c>
      <c r="Z16" s="3" t="s">
        <v>10</v>
      </c>
      <c r="AA16" s="3" t="s">
        <v>10</v>
      </c>
      <c r="AB16" s="3" t="s">
        <v>10</v>
      </c>
      <c r="AC16" s="3" t="s">
        <v>10</v>
      </c>
      <c r="AD16" s="3" t="s">
        <v>10</v>
      </c>
      <c r="AE16" s="3" t="s">
        <v>10</v>
      </c>
      <c r="AF16" s="3" t="s">
        <v>10</v>
      </c>
      <c r="AG16" s="3" t="s">
        <v>10</v>
      </c>
      <c r="AH16" s="74">
        <f>SUM(C16:AG16)</f>
        <v>0</v>
      </c>
      <c r="AI16" s="75"/>
    </row>
    <row r="17" spans="1:36" ht="13.5" thickBot="1" x14ac:dyDescent="0.3">
      <c r="A17" s="92" t="s">
        <v>1</v>
      </c>
      <c r="B17" s="93"/>
      <c r="C17" s="10">
        <f t="shared" ref="C17:AG17" si="4">SUM(C4:C16)</f>
        <v>30</v>
      </c>
      <c r="D17" s="10">
        <f t="shared" si="4"/>
        <v>1525</v>
      </c>
      <c r="E17" s="10">
        <f t="shared" si="4"/>
        <v>1500</v>
      </c>
      <c r="F17" s="10">
        <f t="shared" si="4"/>
        <v>805</v>
      </c>
      <c r="G17" s="10">
        <f t="shared" si="4"/>
        <v>0</v>
      </c>
      <c r="H17" s="10">
        <f t="shared" si="4"/>
        <v>755</v>
      </c>
      <c r="I17" s="10">
        <f t="shared" si="4"/>
        <v>422</v>
      </c>
      <c r="J17" s="10">
        <f t="shared" si="4"/>
        <v>565</v>
      </c>
      <c r="K17" s="10">
        <f t="shared" si="4"/>
        <v>509</v>
      </c>
      <c r="L17" s="10">
        <f t="shared" si="4"/>
        <v>383</v>
      </c>
      <c r="M17" s="10">
        <f t="shared" si="4"/>
        <v>28</v>
      </c>
      <c r="N17" s="10">
        <f t="shared" si="4"/>
        <v>0</v>
      </c>
      <c r="O17" s="10">
        <f t="shared" si="4"/>
        <v>410</v>
      </c>
      <c r="P17" s="10">
        <f t="shared" si="4"/>
        <v>341</v>
      </c>
      <c r="Q17" s="10">
        <f t="shared" si="4"/>
        <v>142</v>
      </c>
      <c r="R17" s="10">
        <f t="shared" si="4"/>
        <v>238</v>
      </c>
      <c r="S17" s="10">
        <f t="shared" si="4"/>
        <v>177</v>
      </c>
      <c r="T17" s="10">
        <f t="shared" si="4"/>
        <v>247</v>
      </c>
      <c r="U17" s="10">
        <f t="shared" si="4"/>
        <v>0</v>
      </c>
      <c r="V17" s="10">
        <f t="shared" si="4"/>
        <v>772</v>
      </c>
      <c r="W17" s="10">
        <f t="shared" si="4"/>
        <v>659</v>
      </c>
      <c r="X17" s="10">
        <f t="shared" si="4"/>
        <v>485</v>
      </c>
      <c r="Y17" s="10">
        <f t="shared" si="4"/>
        <v>1059</v>
      </c>
      <c r="Z17" s="10">
        <f t="shared" si="4"/>
        <v>821</v>
      </c>
      <c r="AA17" s="10">
        <f t="shared" si="4"/>
        <v>183</v>
      </c>
      <c r="AB17" s="10">
        <f t="shared" si="4"/>
        <v>0</v>
      </c>
      <c r="AC17" s="10">
        <f t="shared" si="4"/>
        <v>857</v>
      </c>
      <c r="AD17" s="10">
        <f t="shared" si="4"/>
        <v>1265</v>
      </c>
      <c r="AE17" s="10">
        <f t="shared" si="4"/>
        <v>1413</v>
      </c>
      <c r="AF17" s="10">
        <f t="shared" si="4"/>
        <v>1197</v>
      </c>
      <c r="AG17" s="10">
        <f t="shared" si="4"/>
        <v>721</v>
      </c>
      <c r="AH17" s="94">
        <f t="shared" ref="AH17" si="5">SUM(C17:AG17)</f>
        <v>17509</v>
      </c>
      <c r="AI17" s="95"/>
      <c r="AJ17" s="4"/>
    </row>
    <row r="18" spans="1:36" ht="13.5" thickBot="1" x14ac:dyDescent="0.3"/>
    <row r="19" spans="1:36" ht="22.5" customHeight="1" thickBot="1" x14ac:dyDescent="0.3">
      <c r="A19" s="96" t="s">
        <v>41</v>
      </c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</row>
    <row r="20" spans="1:36" ht="57" customHeight="1" thickBot="1" x14ac:dyDescent="0.3">
      <c r="A20" s="97" t="s">
        <v>0</v>
      </c>
      <c r="B20" s="99" t="s">
        <v>17</v>
      </c>
      <c r="C20" s="11">
        <v>45658</v>
      </c>
      <c r="D20" s="11">
        <v>45659</v>
      </c>
      <c r="E20" s="11">
        <v>45660</v>
      </c>
      <c r="F20" s="11">
        <v>45661</v>
      </c>
      <c r="G20" s="11">
        <v>45662</v>
      </c>
      <c r="H20" s="11">
        <v>45663</v>
      </c>
      <c r="I20" s="11">
        <v>45664</v>
      </c>
      <c r="J20" s="11">
        <v>45665</v>
      </c>
      <c r="K20" s="11">
        <v>45666</v>
      </c>
      <c r="L20" s="11">
        <v>45667</v>
      </c>
      <c r="M20" s="11">
        <v>45668</v>
      </c>
      <c r="N20" s="11">
        <v>45669</v>
      </c>
      <c r="O20" s="11">
        <v>45670</v>
      </c>
      <c r="P20" s="11">
        <v>45671</v>
      </c>
      <c r="Q20" s="11">
        <v>45672</v>
      </c>
      <c r="R20" s="11">
        <v>45673</v>
      </c>
      <c r="S20" s="11">
        <v>45674</v>
      </c>
      <c r="T20" s="11">
        <v>45675</v>
      </c>
      <c r="U20" s="11">
        <v>45676</v>
      </c>
      <c r="V20" s="11">
        <v>45677</v>
      </c>
      <c r="W20" s="11">
        <v>45678</v>
      </c>
      <c r="X20" s="11">
        <v>45679</v>
      </c>
      <c r="Y20" s="11">
        <v>45680</v>
      </c>
      <c r="Z20" s="11">
        <v>45681</v>
      </c>
      <c r="AA20" s="11">
        <v>45682</v>
      </c>
      <c r="AB20" s="11">
        <v>45683</v>
      </c>
      <c r="AC20" s="11">
        <v>45684</v>
      </c>
      <c r="AD20" s="11">
        <v>45685</v>
      </c>
      <c r="AE20" s="11">
        <v>45686</v>
      </c>
      <c r="AF20" s="11">
        <v>45687</v>
      </c>
      <c r="AG20" s="11">
        <v>45688</v>
      </c>
      <c r="AH20" s="101" t="s">
        <v>28</v>
      </c>
      <c r="AI20" s="103" t="s">
        <v>27</v>
      </c>
    </row>
    <row r="21" spans="1:36" ht="70.5" customHeight="1" thickBot="1" x14ac:dyDescent="0.3">
      <c r="A21" s="98"/>
      <c r="B21" s="100"/>
      <c r="C21" s="16" t="s">
        <v>5</v>
      </c>
      <c r="D21" s="16" t="s">
        <v>6</v>
      </c>
      <c r="E21" s="16" t="s">
        <v>7</v>
      </c>
      <c r="F21" s="16" t="s">
        <v>8</v>
      </c>
      <c r="G21" s="16" t="s">
        <v>2</v>
      </c>
      <c r="H21" s="16" t="s">
        <v>3</v>
      </c>
      <c r="I21" s="16" t="s">
        <v>4</v>
      </c>
      <c r="J21" s="16" t="s">
        <v>5</v>
      </c>
      <c r="K21" s="16" t="s">
        <v>6</v>
      </c>
      <c r="L21" s="16" t="s">
        <v>7</v>
      </c>
      <c r="M21" s="16" t="s">
        <v>8</v>
      </c>
      <c r="N21" s="16" t="s">
        <v>2</v>
      </c>
      <c r="O21" s="16" t="s">
        <v>3</v>
      </c>
      <c r="P21" s="16" t="s">
        <v>4</v>
      </c>
      <c r="Q21" s="16" t="s">
        <v>5</v>
      </c>
      <c r="R21" s="16" t="s">
        <v>6</v>
      </c>
      <c r="S21" s="16" t="s">
        <v>7</v>
      </c>
      <c r="T21" s="16" t="s">
        <v>8</v>
      </c>
      <c r="U21" s="16" t="s">
        <v>2</v>
      </c>
      <c r="V21" s="16" t="s">
        <v>3</v>
      </c>
      <c r="W21" s="16" t="s">
        <v>4</v>
      </c>
      <c r="X21" s="16" t="s">
        <v>5</v>
      </c>
      <c r="Y21" s="16" t="s">
        <v>6</v>
      </c>
      <c r="Z21" s="16" t="s">
        <v>7</v>
      </c>
      <c r="AA21" s="16" t="s">
        <v>8</v>
      </c>
      <c r="AB21" s="16" t="s">
        <v>2</v>
      </c>
      <c r="AC21" s="16" t="s">
        <v>3</v>
      </c>
      <c r="AD21" s="16" t="s">
        <v>4</v>
      </c>
      <c r="AE21" s="16" t="s">
        <v>5</v>
      </c>
      <c r="AF21" s="16" t="s">
        <v>6</v>
      </c>
      <c r="AG21" s="16" t="s">
        <v>7</v>
      </c>
      <c r="AH21" s="102"/>
      <c r="AI21" s="104"/>
    </row>
    <row r="22" spans="1:36" x14ac:dyDescent="0.25">
      <c r="A22" s="89" t="s">
        <v>36</v>
      </c>
      <c r="B22" s="29" t="s">
        <v>18</v>
      </c>
      <c r="C22" s="7" t="s">
        <v>9</v>
      </c>
      <c r="D22" s="7">
        <v>34</v>
      </c>
      <c r="E22" s="7">
        <v>33</v>
      </c>
      <c r="F22" s="7">
        <v>9</v>
      </c>
      <c r="G22" s="7" t="s">
        <v>9</v>
      </c>
      <c r="H22" s="7">
        <v>33</v>
      </c>
      <c r="I22" s="7">
        <v>27</v>
      </c>
      <c r="J22" s="7">
        <v>18</v>
      </c>
      <c r="K22" s="7">
        <v>18</v>
      </c>
      <c r="L22" s="7">
        <v>27</v>
      </c>
      <c r="M22" s="7" t="s">
        <v>9</v>
      </c>
      <c r="N22" s="7" t="s">
        <v>9</v>
      </c>
      <c r="O22" s="7">
        <v>17</v>
      </c>
      <c r="P22" s="7">
        <v>27</v>
      </c>
      <c r="Q22" s="7">
        <v>13</v>
      </c>
      <c r="R22" s="7">
        <v>43</v>
      </c>
      <c r="S22" s="7">
        <v>18</v>
      </c>
      <c r="T22" s="7">
        <v>36</v>
      </c>
      <c r="U22" s="7" t="s">
        <v>9</v>
      </c>
      <c r="V22" s="7">
        <v>20</v>
      </c>
      <c r="W22" s="7">
        <v>18</v>
      </c>
      <c r="X22" s="7">
        <v>20</v>
      </c>
      <c r="Y22" s="7">
        <v>13</v>
      </c>
      <c r="Z22" s="7">
        <v>47</v>
      </c>
      <c r="AA22" s="7" t="s">
        <v>9</v>
      </c>
      <c r="AB22" s="7" t="s">
        <v>9</v>
      </c>
      <c r="AC22" s="7">
        <v>28</v>
      </c>
      <c r="AD22" s="7">
        <v>15</v>
      </c>
      <c r="AE22" s="7">
        <v>32</v>
      </c>
      <c r="AF22" s="7">
        <v>24</v>
      </c>
      <c r="AG22" s="23">
        <v>14</v>
      </c>
      <c r="AH22" s="27">
        <f t="shared" ref="AH22:AH60" si="6">SUM(C22:AG22)</f>
        <v>584</v>
      </c>
      <c r="AI22" s="85">
        <f>SUM(AH22:AH24)</f>
        <v>800</v>
      </c>
    </row>
    <row r="23" spans="1:36" ht="15" customHeight="1" x14ac:dyDescent="0.25">
      <c r="A23" s="90"/>
      <c r="B23" s="30" t="s">
        <v>19</v>
      </c>
      <c r="C23" s="3" t="s">
        <v>9</v>
      </c>
      <c r="D23" s="3">
        <v>17</v>
      </c>
      <c r="E23" s="3">
        <v>15</v>
      </c>
      <c r="F23" s="3">
        <v>7</v>
      </c>
      <c r="G23" s="3" t="s">
        <v>9</v>
      </c>
      <c r="H23" s="3">
        <v>25</v>
      </c>
      <c r="I23" s="3">
        <v>6</v>
      </c>
      <c r="J23" s="3">
        <v>8</v>
      </c>
      <c r="K23" s="3">
        <v>11</v>
      </c>
      <c r="L23" s="3">
        <v>11</v>
      </c>
      <c r="M23" s="3" t="s">
        <v>9</v>
      </c>
      <c r="N23" s="3" t="s">
        <v>9</v>
      </c>
      <c r="O23" s="3">
        <v>10</v>
      </c>
      <c r="P23" s="3">
        <v>6</v>
      </c>
      <c r="Q23" s="3">
        <v>6</v>
      </c>
      <c r="R23" s="3">
        <v>6</v>
      </c>
      <c r="S23" s="3">
        <v>7</v>
      </c>
      <c r="T23" s="3">
        <v>7</v>
      </c>
      <c r="U23" s="3" t="s">
        <v>9</v>
      </c>
      <c r="V23" s="3">
        <v>4</v>
      </c>
      <c r="W23" s="3">
        <v>4</v>
      </c>
      <c r="X23" s="3">
        <v>3</v>
      </c>
      <c r="Y23" s="3">
        <v>5</v>
      </c>
      <c r="Z23" s="3">
        <v>9</v>
      </c>
      <c r="AA23" s="3" t="s">
        <v>9</v>
      </c>
      <c r="AB23" s="3" t="s">
        <v>9</v>
      </c>
      <c r="AC23" s="3">
        <v>5</v>
      </c>
      <c r="AD23" s="3">
        <v>5</v>
      </c>
      <c r="AE23" s="3">
        <v>4</v>
      </c>
      <c r="AF23" s="3">
        <v>14</v>
      </c>
      <c r="AG23" s="24">
        <v>9</v>
      </c>
      <c r="AH23" s="28">
        <f t="shared" si="6"/>
        <v>204</v>
      </c>
      <c r="AI23" s="86"/>
    </row>
    <row r="24" spans="1:36" ht="15.75" customHeight="1" thickBot="1" x14ac:dyDescent="0.3">
      <c r="A24" s="91"/>
      <c r="B24" s="31" t="s">
        <v>20</v>
      </c>
      <c r="C24" s="8" t="s">
        <v>9</v>
      </c>
      <c r="D24" s="8">
        <v>0</v>
      </c>
      <c r="E24" s="8">
        <v>0</v>
      </c>
      <c r="F24" s="8">
        <v>0</v>
      </c>
      <c r="G24" s="8" t="s">
        <v>9</v>
      </c>
      <c r="H24" s="8">
        <v>0</v>
      </c>
      <c r="I24" s="8">
        <v>1</v>
      </c>
      <c r="J24" s="8">
        <v>0</v>
      </c>
      <c r="K24" s="8">
        <v>1</v>
      </c>
      <c r="L24" s="8">
        <v>0</v>
      </c>
      <c r="M24" s="8" t="s">
        <v>9</v>
      </c>
      <c r="N24" s="8" t="s">
        <v>9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 t="s">
        <v>9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 t="s">
        <v>9</v>
      </c>
      <c r="AB24" s="8" t="s">
        <v>9</v>
      </c>
      <c r="AC24" s="8">
        <v>0</v>
      </c>
      <c r="AD24" s="8">
        <v>0</v>
      </c>
      <c r="AE24" s="8">
        <v>6</v>
      </c>
      <c r="AF24" s="8">
        <v>3</v>
      </c>
      <c r="AG24" s="25">
        <v>0</v>
      </c>
      <c r="AH24" s="26">
        <f t="shared" si="6"/>
        <v>12</v>
      </c>
      <c r="AI24" s="87"/>
    </row>
    <row r="25" spans="1:36" x14ac:dyDescent="0.25">
      <c r="A25" s="106" t="s">
        <v>35</v>
      </c>
      <c r="B25" s="29" t="s">
        <v>18</v>
      </c>
      <c r="C25" s="7">
        <v>22</v>
      </c>
      <c r="D25" s="7">
        <v>39</v>
      </c>
      <c r="E25" s="7">
        <v>14</v>
      </c>
      <c r="F25" s="7" t="s">
        <v>9</v>
      </c>
      <c r="G25" s="7" t="s">
        <v>9</v>
      </c>
      <c r="H25" s="7">
        <v>34</v>
      </c>
      <c r="I25" s="7">
        <v>17</v>
      </c>
      <c r="J25" s="7">
        <v>11</v>
      </c>
      <c r="K25" s="7">
        <v>22</v>
      </c>
      <c r="L25" s="7">
        <v>30</v>
      </c>
      <c r="M25" s="7" t="s">
        <v>9</v>
      </c>
      <c r="N25" s="7" t="s">
        <v>9</v>
      </c>
      <c r="O25" s="20" t="s">
        <v>9</v>
      </c>
      <c r="P25" s="7">
        <v>10</v>
      </c>
      <c r="Q25" s="7">
        <v>15</v>
      </c>
      <c r="R25" s="7">
        <v>14</v>
      </c>
      <c r="S25" s="7">
        <v>13</v>
      </c>
      <c r="T25" s="7" t="s">
        <v>9</v>
      </c>
      <c r="U25" s="7" t="s">
        <v>9</v>
      </c>
      <c r="V25" s="7">
        <v>22</v>
      </c>
      <c r="W25" s="7">
        <v>31</v>
      </c>
      <c r="X25" s="7">
        <v>33</v>
      </c>
      <c r="Y25" s="7">
        <v>38</v>
      </c>
      <c r="Z25" s="7">
        <v>26</v>
      </c>
      <c r="AA25" s="7" t="s">
        <v>9</v>
      </c>
      <c r="AB25" s="7" t="s">
        <v>9</v>
      </c>
      <c r="AC25" s="7">
        <v>49</v>
      </c>
      <c r="AD25" s="7">
        <v>21</v>
      </c>
      <c r="AE25" s="7">
        <v>29</v>
      </c>
      <c r="AF25" s="7">
        <v>66</v>
      </c>
      <c r="AG25" s="7" t="s">
        <v>9</v>
      </c>
      <c r="AH25" s="27">
        <f>SUM(C25:AG25)</f>
        <v>556</v>
      </c>
      <c r="AI25" s="85">
        <f>SUM(AH25:AH27)</f>
        <v>759</v>
      </c>
    </row>
    <row r="26" spans="1:36" ht="15" customHeight="1" x14ac:dyDescent="0.25">
      <c r="A26" s="72"/>
      <c r="B26" s="30" t="s">
        <v>19</v>
      </c>
      <c r="C26" s="3">
        <v>9</v>
      </c>
      <c r="D26" s="3">
        <v>11</v>
      </c>
      <c r="E26" s="3">
        <v>10</v>
      </c>
      <c r="F26" s="3" t="s">
        <v>9</v>
      </c>
      <c r="G26" s="3" t="s">
        <v>9</v>
      </c>
      <c r="H26" s="3">
        <v>12</v>
      </c>
      <c r="I26" s="3">
        <v>9</v>
      </c>
      <c r="J26" s="3">
        <v>8</v>
      </c>
      <c r="K26" s="3">
        <v>7</v>
      </c>
      <c r="L26" s="3">
        <v>4</v>
      </c>
      <c r="M26" s="3" t="s">
        <v>9</v>
      </c>
      <c r="N26" s="3" t="s">
        <v>9</v>
      </c>
      <c r="O26" s="17" t="s">
        <v>9</v>
      </c>
      <c r="P26" s="3">
        <v>2</v>
      </c>
      <c r="Q26" s="3">
        <v>5</v>
      </c>
      <c r="R26" s="3">
        <v>12</v>
      </c>
      <c r="S26" s="3">
        <v>3</v>
      </c>
      <c r="T26" s="3" t="s">
        <v>9</v>
      </c>
      <c r="U26" s="3" t="s">
        <v>9</v>
      </c>
      <c r="V26" s="3">
        <v>6</v>
      </c>
      <c r="W26" s="3">
        <v>9</v>
      </c>
      <c r="X26" s="3">
        <v>18</v>
      </c>
      <c r="Y26" s="3">
        <v>7</v>
      </c>
      <c r="Z26" s="3">
        <v>8</v>
      </c>
      <c r="AA26" s="3" t="s">
        <v>9</v>
      </c>
      <c r="AB26" s="3" t="s">
        <v>9</v>
      </c>
      <c r="AC26" s="3">
        <v>18</v>
      </c>
      <c r="AD26" s="3">
        <v>16</v>
      </c>
      <c r="AE26" s="3">
        <v>9</v>
      </c>
      <c r="AF26" s="3">
        <v>16</v>
      </c>
      <c r="AG26" s="3" t="s">
        <v>9</v>
      </c>
      <c r="AH26" s="28">
        <f>SUM(C26:AG26)</f>
        <v>199</v>
      </c>
      <c r="AI26" s="86"/>
    </row>
    <row r="27" spans="1:36" ht="15.75" customHeight="1" thickBot="1" x14ac:dyDescent="0.3">
      <c r="A27" s="107"/>
      <c r="B27" s="31" t="s">
        <v>20</v>
      </c>
      <c r="C27" s="8">
        <v>0</v>
      </c>
      <c r="D27" s="8">
        <v>0</v>
      </c>
      <c r="E27" s="8">
        <v>0</v>
      </c>
      <c r="F27" s="8" t="s">
        <v>9</v>
      </c>
      <c r="G27" s="8" t="s">
        <v>9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 t="s">
        <v>9</v>
      </c>
      <c r="N27" s="8" t="s">
        <v>9</v>
      </c>
      <c r="O27" s="21" t="s">
        <v>9</v>
      </c>
      <c r="P27" s="8">
        <v>0</v>
      </c>
      <c r="Q27" s="8">
        <v>0</v>
      </c>
      <c r="R27" s="8">
        <v>1</v>
      </c>
      <c r="S27" s="8">
        <v>0</v>
      </c>
      <c r="T27" s="8" t="s">
        <v>9</v>
      </c>
      <c r="U27" s="8" t="s">
        <v>9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 t="s">
        <v>9</v>
      </c>
      <c r="AB27" s="8" t="s">
        <v>9</v>
      </c>
      <c r="AC27" s="8">
        <v>1</v>
      </c>
      <c r="AD27" s="8">
        <v>0</v>
      </c>
      <c r="AE27" s="8">
        <v>1</v>
      </c>
      <c r="AF27" s="8">
        <v>0</v>
      </c>
      <c r="AG27" s="8" t="s">
        <v>9</v>
      </c>
      <c r="AH27" s="26">
        <f>SUM(C27:AG27)</f>
        <v>4</v>
      </c>
      <c r="AI27" s="87"/>
    </row>
    <row r="28" spans="1:36" x14ac:dyDescent="0.25">
      <c r="A28" s="89" t="s">
        <v>24</v>
      </c>
      <c r="B28" s="29" t="s">
        <v>18</v>
      </c>
      <c r="C28" s="7" t="s">
        <v>9</v>
      </c>
      <c r="D28" s="7">
        <v>48</v>
      </c>
      <c r="E28" s="7">
        <v>31</v>
      </c>
      <c r="F28" s="7">
        <v>18</v>
      </c>
      <c r="G28" s="7" t="s">
        <v>9</v>
      </c>
      <c r="H28" s="7">
        <v>36</v>
      </c>
      <c r="I28" s="7">
        <v>2</v>
      </c>
      <c r="J28" s="7">
        <v>11</v>
      </c>
      <c r="K28" s="7">
        <v>9</v>
      </c>
      <c r="L28" s="7">
        <v>11</v>
      </c>
      <c r="M28" s="7" t="s">
        <v>9</v>
      </c>
      <c r="N28" s="7" t="s">
        <v>9</v>
      </c>
      <c r="O28" s="7">
        <v>15</v>
      </c>
      <c r="P28" s="7">
        <v>14</v>
      </c>
      <c r="Q28" s="7">
        <v>6</v>
      </c>
      <c r="R28" s="7">
        <v>6</v>
      </c>
      <c r="S28" s="7">
        <v>7</v>
      </c>
      <c r="T28" s="7">
        <v>18</v>
      </c>
      <c r="U28" s="7" t="s">
        <v>9</v>
      </c>
      <c r="V28" s="7">
        <v>20</v>
      </c>
      <c r="W28" s="7">
        <v>17</v>
      </c>
      <c r="X28" s="7">
        <v>23</v>
      </c>
      <c r="Y28" s="7">
        <v>17</v>
      </c>
      <c r="Z28" s="7">
        <v>13</v>
      </c>
      <c r="AA28" s="7" t="s">
        <v>9</v>
      </c>
      <c r="AB28" s="7" t="s">
        <v>9</v>
      </c>
      <c r="AC28" s="7">
        <v>34</v>
      </c>
      <c r="AD28" s="7">
        <v>41</v>
      </c>
      <c r="AE28" s="7">
        <v>22</v>
      </c>
      <c r="AF28" s="7">
        <v>17</v>
      </c>
      <c r="AG28" s="23">
        <v>23</v>
      </c>
      <c r="AH28" s="27">
        <f t="shared" ref="AH28:AH30" si="7">SUM(C28:AG28)</f>
        <v>459</v>
      </c>
      <c r="AI28" s="85">
        <f>SUM(AH28:AH30)</f>
        <v>677</v>
      </c>
    </row>
    <row r="29" spans="1:36" ht="15" customHeight="1" x14ac:dyDescent="0.25">
      <c r="A29" s="90"/>
      <c r="B29" s="30" t="s">
        <v>19</v>
      </c>
      <c r="C29" s="3" t="s">
        <v>9</v>
      </c>
      <c r="D29" s="3">
        <v>6</v>
      </c>
      <c r="E29" s="3">
        <v>18</v>
      </c>
      <c r="F29" s="3">
        <v>5</v>
      </c>
      <c r="G29" s="3" t="s">
        <v>9</v>
      </c>
      <c r="H29" s="3">
        <v>7</v>
      </c>
      <c r="I29" s="3">
        <v>7</v>
      </c>
      <c r="J29" s="3">
        <v>7</v>
      </c>
      <c r="K29" s="3">
        <v>4</v>
      </c>
      <c r="L29" s="3">
        <v>6</v>
      </c>
      <c r="M29" s="3" t="s">
        <v>9</v>
      </c>
      <c r="N29" s="3" t="s">
        <v>9</v>
      </c>
      <c r="O29" s="3">
        <v>11</v>
      </c>
      <c r="P29" s="3">
        <v>5</v>
      </c>
      <c r="Q29" s="3">
        <v>2</v>
      </c>
      <c r="R29" s="3">
        <v>8</v>
      </c>
      <c r="S29" s="3">
        <v>10</v>
      </c>
      <c r="T29" s="3">
        <v>12</v>
      </c>
      <c r="U29" s="3" t="s">
        <v>9</v>
      </c>
      <c r="V29" s="3">
        <v>12</v>
      </c>
      <c r="W29" s="3">
        <v>12</v>
      </c>
      <c r="X29" s="3">
        <v>14</v>
      </c>
      <c r="Y29" s="3">
        <v>2</v>
      </c>
      <c r="Z29" s="3">
        <v>6</v>
      </c>
      <c r="AA29" s="3" t="s">
        <v>9</v>
      </c>
      <c r="AB29" s="3" t="s">
        <v>9</v>
      </c>
      <c r="AC29" s="3">
        <v>12</v>
      </c>
      <c r="AD29" s="3">
        <v>5</v>
      </c>
      <c r="AE29" s="3">
        <v>7</v>
      </c>
      <c r="AF29" s="3">
        <v>2</v>
      </c>
      <c r="AG29" s="24">
        <v>17</v>
      </c>
      <c r="AH29" s="28">
        <f t="shared" si="7"/>
        <v>197</v>
      </c>
      <c r="AI29" s="86"/>
    </row>
    <row r="30" spans="1:36" ht="15.75" customHeight="1" thickBot="1" x14ac:dyDescent="0.3">
      <c r="A30" s="91"/>
      <c r="B30" s="31" t="s">
        <v>20</v>
      </c>
      <c r="C30" s="8" t="s">
        <v>9</v>
      </c>
      <c r="D30" s="8">
        <v>0</v>
      </c>
      <c r="E30" s="8">
        <v>1</v>
      </c>
      <c r="F30" s="8">
        <v>0</v>
      </c>
      <c r="G30" s="8" t="s">
        <v>9</v>
      </c>
      <c r="H30" s="8">
        <v>1</v>
      </c>
      <c r="I30" s="8">
        <v>0</v>
      </c>
      <c r="J30" s="8">
        <v>2</v>
      </c>
      <c r="K30" s="8">
        <v>2</v>
      </c>
      <c r="L30" s="8">
        <v>0</v>
      </c>
      <c r="M30" s="8" t="s">
        <v>9</v>
      </c>
      <c r="N30" s="8" t="s">
        <v>9</v>
      </c>
      <c r="O30" s="8">
        <v>0</v>
      </c>
      <c r="P30" s="8">
        <v>0</v>
      </c>
      <c r="Q30" s="8">
        <v>0</v>
      </c>
      <c r="R30" s="8">
        <v>2</v>
      </c>
      <c r="S30" s="8">
        <v>0</v>
      </c>
      <c r="T30" s="8">
        <v>5</v>
      </c>
      <c r="U30" s="8" t="s">
        <v>9</v>
      </c>
      <c r="V30" s="8">
        <v>0</v>
      </c>
      <c r="W30" s="8">
        <v>1</v>
      </c>
      <c r="X30" s="8">
        <v>1</v>
      </c>
      <c r="Y30" s="8">
        <v>0</v>
      </c>
      <c r="Z30" s="8">
        <v>0</v>
      </c>
      <c r="AA30" s="8" t="s">
        <v>9</v>
      </c>
      <c r="AB30" s="8" t="s">
        <v>9</v>
      </c>
      <c r="AC30" s="8">
        <v>0</v>
      </c>
      <c r="AD30" s="8">
        <v>0</v>
      </c>
      <c r="AE30" s="8">
        <v>6</v>
      </c>
      <c r="AF30" s="8">
        <v>0</v>
      </c>
      <c r="AG30" s="25">
        <v>0</v>
      </c>
      <c r="AH30" s="26">
        <f t="shared" si="7"/>
        <v>21</v>
      </c>
      <c r="AI30" s="87"/>
    </row>
    <row r="31" spans="1:36" x14ac:dyDescent="0.25">
      <c r="A31" s="89" t="s">
        <v>23</v>
      </c>
      <c r="B31" s="29" t="s">
        <v>18</v>
      </c>
      <c r="C31" s="7" t="s">
        <v>9</v>
      </c>
      <c r="D31" s="7">
        <v>39</v>
      </c>
      <c r="E31" s="7">
        <v>18</v>
      </c>
      <c r="F31" s="7" t="s">
        <v>9</v>
      </c>
      <c r="G31" s="7" t="s">
        <v>9</v>
      </c>
      <c r="H31" s="7">
        <v>58</v>
      </c>
      <c r="I31" s="7">
        <v>19</v>
      </c>
      <c r="J31" s="7">
        <v>6</v>
      </c>
      <c r="K31" s="7">
        <v>13</v>
      </c>
      <c r="L31" s="7">
        <v>17</v>
      </c>
      <c r="M31" s="7">
        <v>20</v>
      </c>
      <c r="N31" s="7" t="s">
        <v>9</v>
      </c>
      <c r="O31" s="7">
        <v>26</v>
      </c>
      <c r="P31" s="7">
        <v>25</v>
      </c>
      <c r="Q31" s="7">
        <v>28</v>
      </c>
      <c r="R31" s="7">
        <v>13</v>
      </c>
      <c r="S31" s="18" t="s">
        <v>30</v>
      </c>
      <c r="T31" s="7" t="s">
        <v>9</v>
      </c>
      <c r="U31" s="7" t="s">
        <v>9</v>
      </c>
      <c r="V31" s="7">
        <v>25</v>
      </c>
      <c r="W31" s="7">
        <v>12</v>
      </c>
      <c r="X31" s="18" t="s">
        <v>30</v>
      </c>
      <c r="Y31" s="7">
        <v>27</v>
      </c>
      <c r="Z31" s="7">
        <v>21</v>
      </c>
      <c r="AA31" s="7">
        <v>12</v>
      </c>
      <c r="AB31" s="7" t="s">
        <v>9</v>
      </c>
      <c r="AC31" s="7">
        <v>42</v>
      </c>
      <c r="AD31" s="7" t="s">
        <v>9</v>
      </c>
      <c r="AE31" s="7">
        <v>4</v>
      </c>
      <c r="AF31" s="7" t="s">
        <v>9</v>
      </c>
      <c r="AG31" s="23" t="s">
        <v>9</v>
      </c>
      <c r="AH31" s="27">
        <f t="shared" ref="AH31:AH33" si="8">SUM(C31:AG31)</f>
        <v>425</v>
      </c>
      <c r="AI31" s="85">
        <f>SUM(AH31:AH33)</f>
        <v>516</v>
      </c>
    </row>
    <row r="32" spans="1:36" ht="15" customHeight="1" x14ac:dyDescent="0.25">
      <c r="A32" s="90"/>
      <c r="B32" s="30" t="s">
        <v>19</v>
      </c>
      <c r="C32" s="3" t="s">
        <v>9</v>
      </c>
      <c r="D32" s="3">
        <v>3</v>
      </c>
      <c r="E32" s="3">
        <v>1</v>
      </c>
      <c r="F32" s="3" t="s">
        <v>9</v>
      </c>
      <c r="G32" s="3" t="s">
        <v>9</v>
      </c>
      <c r="H32" s="3">
        <v>7</v>
      </c>
      <c r="I32" s="3">
        <v>2</v>
      </c>
      <c r="J32" s="3">
        <v>1</v>
      </c>
      <c r="K32" s="3">
        <v>2</v>
      </c>
      <c r="L32" s="3">
        <v>6</v>
      </c>
      <c r="M32" s="3">
        <v>2</v>
      </c>
      <c r="N32" s="3" t="s">
        <v>9</v>
      </c>
      <c r="O32" s="3">
        <v>4</v>
      </c>
      <c r="P32" s="3">
        <v>1</v>
      </c>
      <c r="Q32" s="3">
        <v>6</v>
      </c>
      <c r="R32" s="3">
        <v>3</v>
      </c>
      <c r="S32" s="18" t="s">
        <v>30</v>
      </c>
      <c r="T32" s="3" t="s">
        <v>9</v>
      </c>
      <c r="U32" s="3" t="s">
        <v>9</v>
      </c>
      <c r="V32" s="3">
        <v>2</v>
      </c>
      <c r="W32" s="3">
        <v>3</v>
      </c>
      <c r="X32" s="18" t="s">
        <v>30</v>
      </c>
      <c r="Y32" s="3">
        <v>1</v>
      </c>
      <c r="Z32" s="3">
        <v>2</v>
      </c>
      <c r="AA32" s="3">
        <v>7</v>
      </c>
      <c r="AB32" s="3" t="s">
        <v>9</v>
      </c>
      <c r="AC32" s="3">
        <v>7</v>
      </c>
      <c r="AD32" s="3" t="s">
        <v>9</v>
      </c>
      <c r="AE32" s="3">
        <v>0</v>
      </c>
      <c r="AF32" s="3" t="s">
        <v>9</v>
      </c>
      <c r="AG32" s="24" t="s">
        <v>9</v>
      </c>
      <c r="AH32" s="28">
        <f t="shared" si="8"/>
        <v>60</v>
      </c>
      <c r="AI32" s="86"/>
    </row>
    <row r="33" spans="1:35" ht="15.75" customHeight="1" thickBot="1" x14ac:dyDescent="0.3">
      <c r="A33" s="91"/>
      <c r="B33" s="31" t="s">
        <v>20</v>
      </c>
      <c r="C33" s="8" t="s">
        <v>9</v>
      </c>
      <c r="D33" s="8">
        <v>0</v>
      </c>
      <c r="E33" s="8">
        <v>6</v>
      </c>
      <c r="F33" s="8" t="s">
        <v>9</v>
      </c>
      <c r="G33" s="8" t="s">
        <v>9</v>
      </c>
      <c r="H33" s="8">
        <v>0</v>
      </c>
      <c r="I33" s="8">
        <v>2</v>
      </c>
      <c r="J33" s="8">
        <v>3</v>
      </c>
      <c r="K33" s="8">
        <v>0</v>
      </c>
      <c r="L33" s="8">
        <v>7</v>
      </c>
      <c r="M33" s="8">
        <v>0</v>
      </c>
      <c r="N33" s="8" t="s">
        <v>9</v>
      </c>
      <c r="O33" s="8">
        <v>0</v>
      </c>
      <c r="P33" s="8">
        <v>0</v>
      </c>
      <c r="Q33" s="8">
        <v>4</v>
      </c>
      <c r="R33" s="8">
        <v>2</v>
      </c>
      <c r="S33" s="18" t="s">
        <v>30</v>
      </c>
      <c r="T33" s="8" t="s">
        <v>9</v>
      </c>
      <c r="U33" s="8" t="s">
        <v>9</v>
      </c>
      <c r="V33" s="8">
        <v>5</v>
      </c>
      <c r="W33" s="8">
        <v>0</v>
      </c>
      <c r="X33" s="18" t="s">
        <v>30</v>
      </c>
      <c r="Y33" s="8">
        <v>0</v>
      </c>
      <c r="Z33" s="8">
        <v>1</v>
      </c>
      <c r="AA33" s="8">
        <v>0</v>
      </c>
      <c r="AB33" s="8" t="s">
        <v>9</v>
      </c>
      <c r="AC33" s="8">
        <v>1</v>
      </c>
      <c r="AD33" s="8" t="s">
        <v>9</v>
      </c>
      <c r="AE33" s="8">
        <v>0</v>
      </c>
      <c r="AF33" s="8" t="s">
        <v>9</v>
      </c>
      <c r="AG33" s="25" t="s">
        <v>9</v>
      </c>
      <c r="AH33" s="26">
        <f t="shared" si="8"/>
        <v>31</v>
      </c>
      <c r="AI33" s="87"/>
    </row>
    <row r="34" spans="1:35" x14ac:dyDescent="0.25">
      <c r="A34" s="88" t="s">
        <v>39</v>
      </c>
      <c r="B34" s="29" t="s">
        <v>18</v>
      </c>
      <c r="C34" s="7" t="s">
        <v>9</v>
      </c>
      <c r="D34" s="7">
        <v>33</v>
      </c>
      <c r="E34" s="7">
        <v>14</v>
      </c>
      <c r="F34" s="7" t="s">
        <v>9</v>
      </c>
      <c r="G34" s="7" t="s">
        <v>9</v>
      </c>
      <c r="H34" s="7">
        <v>23</v>
      </c>
      <c r="I34" s="7">
        <v>1</v>
      </c>
      <c r="J34" s="7">
        <v>12</v>
      </c>
      <c r="K34" s="7">
        <v>10</v>
      </c>
      <c r="L34" s="7">
        <v>15</v>
      </c>
      <c r="M34" s="7" t="s">
        <v>9</v>
      </c>
      <c r="N34" s="7" t="s">
        <v>9</v>
      </c>
      <c r="O34" s="7">
        <v>23</v>
      </c>
      <c r="P34" s="7">
        <v>12</v>
      </c>
      <c r="Q34" s="7">
        <v>12</v>
      </c>
      <c r="R34" s="7">
        <v>5</v>
      </c>
      <c r="S34" s="7">
        <v>11</v>
      </c>
      <c r="T34" s="7" t="s">
        <v>9</v>
      </c>
      <c r="U34" s="7" t="s">
        <v>9</v>
      </c>
      <c r="V34" s="7">
        <v>15</v>
      </c>
      <c r="W34" s="7">
        <v>5</v>
      </c>
      <c r="X34" s="7">
        <v>23</v>
      </c>
      <c r="Y34" s="7">
        <v>18</v>
      </c>
      <c r="Z34" s="7">
        <v>8</v>
      </c>
      <c r="AA34" s="7" t="s">
        <v>9</v>
      </c>
      <c r="AB34" s="7" t="s">
        <v>9</v>
      </c>
      <c r="AC34" s="7">
        <v>38</v>
      </c>
      <c r="AD34" s="7">
        <v>31</v>
      </c>
      <c r="AE34" s="7">
        <v>33</v>
      </c>
      <c r="AF34" s="7">
        <v>54</v>
      </c>
      <c r="AG34" s="23">
        <v>13</v>
      </c>
      <c r="AH34" s="27">
        <f t="shared" ref="AH34:AH45" si="9">SUM(C34:AG34)</f>
        <v>409</v>
      </c>
      <c r="AI34" s="85">
        <f>SUM(AH34:AH36)</f>
        <v>551</v>
      </c>
    </row>
    <row r="35" spans="1:35" ht="15" customHeight="1" x14ac:dyDescent="0.25">
      <c r="A35" s="88"/>
      <c r="B35" s="30" t="s">
        <v>19</v>
      </c>
      <c r="C35" s="3" t="s">
        <v>9</v>
      </c>
      <c r="D35" s="3">
        <v>8</v>
      </c>
      <c r="E35" s="3">
        <v>3</v>
      </c>
      <c r="F35" s="3" t="s">
        <v>9</v>
      </c>
      <c r="G35" s="3" t="s">
        <v>9</v>
      </c>
      <c r="H35" s="3">
        <v>4</v>
      </c>
      <c r="I35" s="3">
        <v>14</v>
      </c>
      <c r="J35" s="3">
        <v>2</v>
      </c>
      <c r="K35" s="3">
        <v>7</v>
      </c>
      <c r="L35" s="3">
        <v>1</v>
      </c>
      <c r="M35" s="3" t="s">
        <v>9</v>
      </c>
      <c r="N35" s="3" t="s">
        <v>9</v>
      </c>
      <c r="O35" s="3">
        <v>0</v>
      </c>
      <c r="P35" s="3">
        <v>2</v>
      </c>
      <c r="Q35" s="3">
        <v>4</v>
      </c>
      <c r="R35" s="3">
        <v>3</v>
      </c>
      <c r="S35" s="3">
        <v>0</v>
      </c>
      <c r="T35" s="3" t="s">
        <v>9</v>
      </c>
      <c r="U35" s="3" t="s">
        <v>9</v>
      </c>
      <c r="V35" s="3">
        <v>5</v>
      </c>
      <c r="W35" s="3">
        <v>3</v>
      </c>
      <c r="X35" s="3">
        <v>14</v>
      </c>
      <c r="Y35" s="3">
        <v>4</v>
      </c>
      <c r="Z35" s="3">
        <v>7</v>
      </c>
      <c r="AA35" s="3" t="s">
        <v>9</v>
      </c>
      <c r="AB35" s="3" t="s">
        <v>9</v>
      </c>
      <c r="AC35" s="3">
        <v>6</v>
      </c>
      <c r="AD35" s="3">
        <v>9</v>
      </c>
      <c r="AE35" s="3">
        <v>3</v>
      </c>
      <c r="AF35" s="3">
        <v>6</v>
      </c>
      <c r="AG35" s="24">
        <v>36</v>
      </c>
      <c r="AH35" s="28">
        <f t="shared" si="9"/>
        <v>141</v>
      </c>
      <c r="AI35" s="86"/>
    </row>
    <row r="36" spans="1:35" ht="15.75" customHeight="1" thickBot="1" x14ac:dyDescent="0.3">
      <c r="A36" s="88"/>
      <c r="B36" s="31" t="s">
        <v>20</v>
      </c>
      <c r="C36" s="8" t="s">
        <v>9</v>
      </c>
      <c r="D36" s="8">
        <v>0</v>
      </c>
      <c r="E36" s="8">
        <v>0</v>
      </c>
      <c r="F36" s="8" t="s">
        <v>9</v>
      </c>
      <c r="G36" s="8" t="s">
        <v>9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 t="s">
        <v>9</v>
      </c>
      <c r="N36" s="8" t="s">
        <v>9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 t="s">
        <v>9</v>
      </c>
      <c r="U36" s="8" t="s">
        <v>9</v>
      </c>
      <c r="V36" s="8">
        <v>1</v>
      </c>
      <c r="W36" s="8">
        <v>0</v>
      </c>
      <c r="X36" s="8">
        <v>0</v>
      </c>
      <c r="Y36" s="8">
        <v>0</v>
      </c>
      <c r="Z36" s="8">
        <v>0</v>
      </c>
      <c r="AA36" s="8" t="s">
        <v>9</v>
      </c>
      <c r="AB36" s="8" t="s">
        <v>9</v>
      </c>
      <c r="AC36" s="8">
        <v>0</v>
      </c>
      <c r="AD36" s="8">
        <v>0</v>
      </c>
      <c r="AE36" s="8">
        <v>0</v>
      </c>
      <c r="AF36" s="8">
        <v>0</v>
      </c>
      <c r="AG36" s="25">
        <v>0</v>
      </c>
      <c r="AH36" s="26">
        <f t="shared" si="9"/>
        <v>1</v>
      </c>
      <c r="AI36" s="87"/>
    </row>
    <row r="37" spans="1:35" x14ac:dyDescent="0.25">
      <c r="A37" s="89" t="s">
        <v>34</v>
      </c>
      <c r="B37" s="29" t="s">
        <v>18</v>
      </c>
      <c r="C37" s="7" t="s">
        <v>9</v>
      </c>
      <c r="D37" s="7">
        <v>16</v>
      </c>
      <c r="E37" s="7">
        <v>28</v>
      </c>
      <c r="F37" s="7">
        <v>9</v>
      </c>
      <c r="G37" s="7" t="s">
        <v>9</v>
      </c>
      <c r="H37" s="7">
        <v>23</v>
      </c>
      <c r="I37" s="7">
        <v>5</v>
      </c>
      <c r="J37" s="7">
        <v>16</v>
      </c>
      <c r="K37" s="7">
        <v>9</v>
      </c>
      <c r="L37" s="7">
        <v>14</v>
      </c>
      <c r="M37" s="7" t="s">
        <v>37</v>
      </c>
      <c r="N37" s="7" t="s">
        <v>9</v>
      </c>
      <c r="O37" s="7">
        <v>4</v>
      </c>
      <c r="P37" s="7">
        <v>11</v>
      </c>
      <c r="Q37" s="20" t="s">
        <v>9</v>
      </c>
      <c r="R37" s="7">
        <v>11</v>
      </c>
      <c r="S37" s="7">
        <v>14</v>
      </c>
      <c r="T37" s="7">
        <v>4</v>
      </c>
      <c r="U37" s="7" t="s">
        <v>9</v>
      </c>
      <c r="V37" s="7">
        <v>10</v>
      </c>
      <c r="W37" s="7">
        <v>16</v>
      </c>
      <c r="X37" s="7">
        <v>9</v>
      </c>
      <c r="Y37" s="7">
        <v>14</v>
      </c>
      <c r="Z37" s="7">
        <v>12</v>
      </c>
      <c r="AA37" s="7">
        <v>5</v>
      </c>
      <c r="AB37" s="7" t="s">
        <v>9</v>
      </c>
      <c r="AC37" s="7">
        <v>24</v>
      </c>
      <c r="AD37" s="7">
        <v>16</v>
      </c>
      <c r="AE37" s="7">
        <v>17</v>
      </c>
      <c r="AF37" s="7">
        <v>5</v>
      </c>
      <c r="AG37" s="23">
        <v>47</v>
      </c>
      <c r="AH37" s="27">
        <f t="shared" si="9"/>
        <v>339</v>
      </c>
      <c r="AI37" s="85">
        <f>SUM(AH37:AH39)</f>
        <v>454</v>
      </c>
    </row>
    <row r="38" spans="1:35" ht="15" customHeight="1" x14ac:dyDescent="0.25">
      <c r="A38" s="90"/>
      <c r="B38" s="30" t="s">
        <v>19</v>
      </c>
      <c r="C38" s="3" t="s">
        <v>9</v>
      </c>
      <c r="D38" s="3">
        <v>6</v>
      </c>
      <c r="E38" s="3">
        <v>3</v>
      </c>
      <c r="F38" s="3">
        <v>1</v>
      </c>
      <c r="G38" s="3" t="s">
        <v>9</v>
      </c>
      <c r="H38" s="3">
        <v>9</v>
      </c>
      <c r="I38" s="3">
        <v>9</v>
      </c>
      <c r="J38" s="3">
        <v>5</v>
      </c>
      <c r="K38" s="3">
        <v>2</v>
      </c>
      <c r="L38" s="3">
        <v>5</v>
      </c>
      <c r="M38" s="3" t="s">
        <v>37</v>
      </c>
      <c r="N38" s="3" t="s">
        <v>9</v>
      </c>
      <c r="O38" s="3">
        <v>1</v>
      </c>
      <c r="P38" s="3">
        <v>4</v>
      </c>
      <c r="Q38" s="17" t="s">
        <v>9</v>
      </c>
      <c r="R38" s="3">
        <v>3</v>
      </c>
      <c r="S38" s="3">
        <v>1</v>
      </c>
      <c r="T38" s="3">
        <v>2</v>
      </c>
      <c r="U38" s="3" t="s">
        <v>9</v>
      </c>
      <c r="V38" s="3">
        <v>10</v>
      </c>
      <c r="W38" s="3">
        <v>5</v>
      </c>
      <c r="X38" s="3">
        <v>9</v>
      </c>
      <c r="Y38" s="3">
        <v>3</v>
      </c>
      <c r="Z38" s="3">
        <v>2</v>
      </c>
      <c r="AA38" s="3">
        <v>6</v>
      </c>
      <c r="AB38" s="3" t="s">
        <v>9</v>
      </c>
      <c r="AC38" s="3">
        <v>10</v>
      </c>
      <c r="AD38" s="3">
        <v>2</v>
      </c>
      <c r="AE38" s="3">
        <v>1</v>
      </c>
      <c r="AF38" s="3">
        <v>4</v>
      </c>
      <c r="AG38" s="24">
        <v>8</v>
      </c>
      <c r="AH38" s="28">
        <f t="shared" si="9"/>
        <v>111</v>
      </c>
      <c r="AI38" s="86"/>
    </row>
    <row r="39" spans="1:35" ht="15.75" customHeight="1" thickBot="1" x14ac:dyDescent="0.3">
      <c r="A39" s="91"/>
      <c r="B39" s="31" t="s">
        <v>20</v>
      </c>
      <c r="C39" s="8" t="s">
        <v>9</v>
      </c>
      <c r="D39" s="8">
        <v>1</v>
      </c>
      <c r="E39" s="8">
        <v>0</v>
      </c>
      <c r="F39" s="8">
        <v>0</v>
      </c>
      <c r="G39" s="8" t="s">
        <v>9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 t="s">
        <v>37</v>
      </c>
      <c r="N39" s="8" t="s">
        <v>9</v>
      </c>
      <c r="O39" s="8">
        <v>0</v>
      </c>
      <c r="P39" s="8">
        <v>0</v>
      </c>
      <c r="Q39" s="21" t="s">
        <v>9</v>
      </c>
      <c r="R39" s="8">
        <v>0</v>
      </c>
      <c r="S39" s="8">
        <v>1</v>
      </c>
      <c r="T39" s="8">
        <v>0</v>
      </c>
      <c r="U39" s="8" t="s">
        <v>9</v>
      </c>
      <c r="V39" s="8">
        <v>0</v>
      </c>
      <c r="W39" s="8">
        <v>0</v>
      </c>
      <c r="X39" s="8">
        <v>0</v>
      </c>
      <c r="Y39" s="8">
        <v>1</v>
      </c>
      <c r="Z39" s="8">
        <v>0</v>
      </c>
      <c r="AA39" s="8">
        <v>0</v>
      </c>
      <c r="AB39" s="8" t="s">
        <v>9</v>
      </c>
      <c r="AC39" s="8">
        <v>0</v>
      </c>
      <c r="AD39" s="8">
        <v>0</v>
      </c>
      <c r="AE39" s="8">
        <v>1</v>
      </c>
      <c r="AF39" s="8">
        <v>0</v>
      </c>
      <c r="AG39" s="25">
        <v>0</v>
      </c>
      <c r="AH39" s="26">
        <f t="shared" si="9"/>
        <v>4</v>
      </c>
      <c r="AI39" s="87"/>
    </row>
    <row r="40" spans="1:35" x14ac:dyDescent="0.25">
      <c r="A40" s="89" t="s">
        <v>38</v>
      </c>
      <c r="B40" s="29" t="s">
        <v>18</v>
      </c>
      <c r="C40" s="7">
        <v>10</v>
      </c>
      <c r="D40" s="7">
        <v>37</v>
      </c>
      <c r="E40" s="7">
        <v>9</v>
      </c>
      <c r="F40" s="7">
        <v>11</v>
      </c>
      <c r="G40" s="7" t="s">
        <v>9</v>
      </c>
      <c r="H40" s="7">
        <v>28</v>
      </c>
      <c r="I40" s="7">
        <v>3</v>
      </c>
      <c r="J40" s="7">
        <v>14</v>
      </c>
      <c r="K40" s="7">
        <v>14</v>
      </c>
      <c r="L40" s="7">
        <v>16</v>
      </c>
      <c r="M40" s="7" t="s">
        <v>9</v>
      </c>
      <c r="N40" s="7" t="s">
        <v>9</v>
      </c>
      <c r="O40" s="7" t="s">
        <v>30</v>
      </c>
      <c r="P40" s="7" t="s">
        <v>30</v>
      </c>
      <c r="Q40" s="7">
        <v>5</v>
      </c>
      <c r="R40" s="7">
        <v>3</v>
      </c>
      <c r="S40" s="7">
        <v>9</v>
      </c>
      <c r="T40" s="7">
        <v>14</v>
      </c>
      <c r="U40" s="7" t="s">
        <v>9</v>
      </c>
      <c r="V40" s="7">
        <v>13</v>
      </c>
      <c r="W40" s="7">
        <v>7</v>
      </c>
      <c r="X40" s="7">
        <v>11</v>
      </c>
      <c r="Y40" s="7">
        <v>16</v>
      </c>
      <c r="Z40" s="7">
        <v>18</v>
      </c>
      <c r="AA40" s="7" t="s">
        <v>9</v>
      </c>
      <c r="AB40" s="7" t="s">
        <v>9</v>
      </c>
      <c r="AC40" s="7">
        <v>25</v>
      </c>
      <c r="AD40" s="7">
        <v>23</v>
      </c>
      <c r="AE40" s="7">
        <v>20</v>
      </c>
      <c r="AF40" s="7">
        <v>15</v>
      </c>
      <c r="AG40" s="23">
        <v>25</v>
      </c>
      <c r="AH40" s="27">
        <f>SUM(C40:AG40)</f>
        <v>346</v>
      </c>
      <c r="AI40" s="85">
        <f>SUM(AH40:AH42)</f>
        <v>463</v>
      </c>
    </row>
    <row r="41" spans="1:35" ht="15" customHeight="1" x14ac:dyDescent="0.25">
      <c r="A41" s="90"/>
      <c r="B41" s="30" t="s">
        <v>19</v>
      </c>
      <c r="C41" s="3">
        <v>5</v>
      </c>
      <c r="D41" s="3">
        <v>4</v>
      </c>
      <c r="E41" s="3">
        <v>3</v>
      </c>
      <c r="F41" s="3">
        <v>6</v>
      </c>
      <c r="G41" s="3" t="s">
        <v>9</v>
      </c>
      <c r="H41" s="3">
        <v>8</v>
      </c>
      <c r="I41" s="3">
        <v>0</v>
      </c>
      <c r="J41" s="3">
        <v>0</v>
      </c>
      <c r="K41" s="3">
        <v>2</v>
      </c>
      <c r="L41" s="3">
        <v>4</v>
      </c>
      <c r="M41" s="3" t="s">
        <v>9</v>
      </c>
      <c r="N41" s="3" t="s">
        <v>9</v>
      </c>
      <c r="O41" s="3" t="s">
        <v>30</v>
      </c>
      <c r="P41" s="3" t="s">
        <v>30</v>
      </c>
      <c r="Q41" s="3">
        <v>1</v>
      </c>
      <c r="R41" s="3">
        <v>5</v>
      </c>
      <c r="S41" s="3">
        <v>3</v>
      </c>
      <c r="T41" s="3">
        <v>15</v>
      </c>
      <c r="U41" s="3" t="s">
        <v>9</v>
      </c>
      <c r="V41" s="3">
        <v>2</v>
      </c>
      <c r="W41" s="3">
        <v>4</v>
      </c>
      <c r="X41" s="3">
        <v>6</v>
      </c>
      <c r="Y41" s="3">
        <v>8</v>
      </c>
      <c r="Z41" s="3">
        <v>0</v>
      </c>
      <c r="AA41" s="3" t="s">
        <v>9</v>
      </c>
      <c r="AB41" s="3" t="s">
        <v>9</v>
      </c>
      <c r="AC41" s="3">
        <v>2</v>
      </c>
      <c r="AD41" s="3">
        <v>8</v>
      </c>
      <c r="AE41" s="3">
        <v>1</v>
      </c>
      <c r="AF41" s="3">
        <v>7</v>
      </c>
      <c r="AG41" s="24">
        <v>12</v>
      </c>
      <c r="AH41" s="28">
        <f>SUM(C41:AG41)</f>
        <v>106</v>
      </c>
      <c r="AI41" s="86"/>
    </row>
    <row r="42" spans="1:35" ht="17.25" customHeight="1" thickBot="1" x14ac:dyDescent="0.3">
      <c r="A42" s="91"/>
      <c r="B42" s="31" t="s">
        <v>20</v>
      </c>
      <c r="C42" s="8">
        <v>0</v>
      </c>
      <c r="D42" s="8">
        <v>0</v>
      </c>
      <c r="E42" s="8">
        <v>0</v>
      </c>
      <c r="F42" s="8">
        <v>0</v>
      </c>
      <c r="G42" s="8" t="s">
        <v>9</v>
      </c>
      <c r="H42" s="8">
        <v>1</v>
      </c>
      <c r="I42" s="8">
        <v>0</v>
      </c>
      <c r="J42" s="8">
        <v>4</v>
      </c>
      <c r="K42" s="8">
        <v>1</v>
      </c>
      <c r="L42" s="8">
        <v>1</v>
      </c>
      <c r="M42" s="8" t="s">
        <v>9</v>
      </c>
      <c r="N42" s="8" t="s">
        <v>9</v>
      </c>
      <c r="O42" s="8" t="s">
        <v>30</v>
      </c>
      <c r="P42" s="8" t="s">
        <v>30</v>
      </c>
      <c r="Q42" s="8">
        <v>0</v>
      </c>
      <c r="R42" s="8">
        <v>0</v>
      </c>
      <c r="S42" s="8">
        <v>0</v>
      </c>
      <c r="T42" s="8">
        <v>0</v>
      </c>
      <c r="U42" s="8" t="s">
        <v>9</v>
      </c>
      <c r="V42" s="8">
        <v>1</v>
      </c>
      <c r="W42" s="8">
        <v>0</v>
      </c>
      <c r="X42" s="8">
        <v>1</v>
      </c>
      <c r="Y42" s="8">
        <v>0</v>
      </c>
      <c r="Z42" s="8">
        <v>0</v>
      </c>
      <c r="AA42" s="8" t="s">
        <v>9</v>
      </c>
      <c r="AB42" s="8" t="s">
        <v>9</v>
      </c>
      <c r="AC42" s="8">
        <v>0</v>
      </c>
      <c r="AD42" s="8">
        <v>0</v>
      </c>
      <c r="AE42" s="8">
        <v>1</v>
      </c>
      <c r="AF42" s="8">
        <v>0</v>
      </c>
      <c r="AG42" s="25">
        <v>1</v>
      </c>
      <c r="AH42" s="26">
        <f>SUM(C42:AG42)</f>
        <v>11</v>
      </c>
      <c r="AI42" s="87"/>
    </row>
    <row r="43" spans="1:35" x14ac:dyDescent="0.25">
      <c r="A43" s="89" t="s">
        <v>32</v>
      </c>
      <c r="B43" s="29" t="s">
        <v>18</v>
      </c>
      <c r="C43" s="7" t="s">
        <v>9</v>
      </c>
      <c r="D43" s="7" t="s">
        <v>9</v>
      </c>
      <c r="E43" s="7">
        <v>17</v>
      </c>
      <c r="F43" s="7">
        <v>15</v>
      </c>
      <c r="G43" s="7" t="s">
        <v>9</v>
      </c>
      <c r="H43" s="7">
        <v>18</v>
      </c>
      <c r="I43" s="7">
        <v>20</v>
      </c>
      <c r="J43" s="7">
        <v>12</v>
      </c>
      <c r="K43" s="7">
        <v>11</v>
      </c>
      <c r="L43" s="7">
        <v>13</v>
      </c>
      <c r="M43" s="7" t="s">
        <v>9</v>
      </c>
      <c r="N43" s="7" t="s">
        <v>9</v>
      </c>
      <c r="O43" s="7">
        <v>20</v>
      </c>
      <c r="P43" s="7">
        <v>3</v>
      </c>
      <c r="Q43" s="20" t="s">
        <v>9</v>
      </c>
      <c r="R43" s="7">
        <v>8</v>
      </c>
      <c r="S43" s="7">
        <v>6</v>
      </c>
      <c r="T43" s="7">
        <v>8</v>
      </c>
      <c r="U43" s="7" t="s">
        <v>9</v>
      </c>
      <c r="V43" s="20" t="s">
        <v>9</v>
      </c>
      <c r="W43" s="7">
        <v>10</v>
      </c>
      <c r="X43" s="7">
        <v>17</v>
      </c>
      <c r="Y43" s="7">
        <v>19</v>
      </c>
      <c r="Z43" s="7">
        <v>30</v>
      </c>
      <c r="AA43" s="7" t="s">
        <v>9</v>
      </c>
      <c r="AB43" s="7" t="s">
        <v>9</v>
      </c>
      <c r="AC43" s="7">
        <v>27</v>
      </c>
      <c r="AD43" s="7">
        <v>12</v>
      </c>
      <c r="AE43" s="7">
        <v>19</v>
      </c>
      <c r="AF43" s="7">
        <v>11</v>
      </c>
      <c r="AG43" s="23">
        <v>19</v>
      </c>
      <c r="AH43" s="27">
        <f t="shared" si="9"/>
        <v>315</v>
      </c>
      <c r="AI43" s="85">
        <f>SUM(AH43:AH45)</f>
        <v>454</v>
      </c>
    </row>
    <row r="44" spans="1:35" ht="15" customHeight="1" x14ac:dyDescent="0.25">
      <c r="A44" s="90"/>
      <c r="B44" s="30" t="s">
        <v>19</v>
      </c>
      <c r="C44" s="3" t="s">
        <v>9</v>
      </c>
      <c r="D44" s="3" t="s">
        <v>9</v>
      </c>
      <c r="E44" s="3">
        <v>4</v>
      </c>
      <c r="F44" s="3">
        <v>6</v>
      </c>
      <c r="G44" s="3" t="s">
        <v>9</v>
      </c>
      <c r="H44" s="3">
        <v>8</v>
      </c>
      <c r="I44" s="3">
        <v>13</v>
      </c>
      <c r="J44" s="3">
        <v>4</v>
      </c>
      <c r="K44" s="3">
        <v>3</v>
      </c>
      <c r="L44" s="3">
        <v>0</v>
      </c>
      <c r="M44" s="3" t="s">
        <v>9</v>
      </c>
      <c r="N44" s="3" t="s">
        <v>9</v>
      </c>
      <c r="O44" s="3">
        <v>2</v>
      </c>
      <c r="P44" s="3">
        <v>1</v>
      </c>
      <c r="Q44" s="17" t="s">
        <v>9</v>
      </c>
      <c r="R44" s="3">
        <v>4</v>
      </c>
      <c r="S44" s="3">
        <v>2</v>
      </c>
      <c r="T44" s="3">
        <v>3</v>
      </c>
      <c r="U44" s="3" t="s">
        <v>9</v>
      </c>
      <c r="V44" s="17" t="s">
        <v>9</v>
      </c>
      <c r="W44" s="3">
        <v>2</v>
      </c>
      <c r="X44" s="3">
        <v>7</v>
      </c>
      <c r="Y44" s="3">
        <v>2</v>
      </c>
      <c r="Z44" s="3">
        <v>19</v>
      </c>
      <c r="AA44" s="3" t="s">
        <v>9</v>
      </c>
      <c r="AB44" s="3" t="s">
        <v>9</v>
      </c>
      <c r="AC44" s="3">
        <v>7</v>
      </c>
      <c r="AD44" s="3">
        <v>5</v>
      </c>
      <c r="AE44" s="3">
        <v>3</v>
      </c>
      <c r="AF44" s="3">
        <v>2</v>
      </c>
      <c r="AG44" s="24">
        <v>10</v>
      </c>
      <c r="AH44" s="28">
        <f t="shared" si="9"/>
        <v>107</v>
      </c>
      <c r="AI44" s="86"/>
    </row>
    <row r="45" spans="1:35" ht="15.75" customHeight="1" thickBot="1" x14ac:dyDescent="0.3">
      <c r="A45" s="91"/>
      <c r="B45" s="31" t="s">
        <v>20</v>
      </c>
      <c r="C45" s="8" t="s">
        <v>9</v>
      </c>
      <c r="D45" s="8" t="s">
        <v>9</v>
      </c>
      <c r="E45" s="8">
        <v>1</v>
      </c>
      <c r="F45" s="8">
        <v>3</v>
      </c>
      <c r="G45" s="8" t="s">
        <v>9</v>
      </c>
      <c r="H45" s="8">
        <v>1</v>
      </c>
      <c r="I45" s="8">
        <v>0</v>
      </c>
      <c r="J45" s="8">
        <v>1</v>
      </c>
      <c r="K45" s="8">
        <v>0</v>
      </c>
      <c r="L45" s="8">
        <v>1</v>
      </c>
      <c r="M45" s="8" t="s">
        <v>9</v>
      </c>
      <c r="N45" s="8" t="s">
        <v>9</v>
      </c>
      <c r="O45" s="8">
        <v>4</v>
      </c>
      <c r="P45" s="8">
        <v>3</v>
      </c>
      <c r="Q45" s="21" t="s">
        <v>9</v>
      </c>
      <c r="R45" s="8">
        <v>3</v>
      </c>
      <c r="S45" s="8">
        <v>3</v>
      </c>
      <c r="T45" s="8">
        <v>1</v>
      </c>
      <c r="U45" s="8" t="s">
        <v>9</v>
      </c>
      <c r="V45" s="21" t="s">
        <v>9</v>
      </c>
      <c r="W45" s="8">
        <v>1</v>
      </c>
      <c r="X45" s="8">
        <v>2</v>
      </c>
      <c r="Y45" s="8">
        <v>0</v>
      </c>
      <c r="Z45" s="8">
        <v>0</v>
      </c>
      <c r="AA45" s="8" t="s">
        <v>9</v>
      </c>
      <c r="AB45" s="8" t="s">
        <v>9</v>
      </c>
      <c r="AC45" s="8">
        <v>2</v>
      </c>
      <c r="AD45" s="8">
        <v>1</v>
      </c>
      <c r="AE45" s="8">
        <v>5</v>
      </c>
      <c r="AF45" s="8">
        <v>0</v>
      </c>
      <c r="AG45" s="25">
        <v>0</v>
      </c>
      <c r="AH45" s="26">
        <f t="shared" si="9"/>
        <v>32</v>
      </c>
      <c r="AI45" s="87"/>
    </row>
    <row r="46" spans="1:35" x14ac:dyDescent="0.25">
      <c r="A46" s="108" t="s">
        <v>31</v>
      </c>
      <c r="B46" s="29" t="s">
        <v>18</v>
      </c>
      <c r="C46" s="7" t="s">
        <v>9</v>
      </c>
      <c r="D46" s="7">
        <v>10</v>
      </c>
      <c r="E46" s="7">
        <v>32</v>
      </c>
      <c r="F46" s="7">
        <v>3</v>
      </c>
      <c r="G46" s="7" t="s">
        <v>9</v>
      </c>
      <c r="H46" s="7">
        <v>22</v>
      </c>
      <c r="I46" s="7">
        <v>2</v>
      </c>
      <c r="J46" s="7">
        <v>10</v>
      </c>
      <c r="K46" s="7">
        <v>5</v>
      </c>
      <c r="L46" s="7">
        <v>12</v>
      </c>
      <c r="M46" s="7" t="s">
        <v>9</v>
      </c>
      <c r="N46" s="20" t="s">
        <v>9</v>
      </c>
      <c r="O46" s="7">
        <v>4</v>
      </c>
      <c r="P46" s="7">
        <v>5</v>
      </c>
      <c r="Q46" s="20" t="s">
        <v>30</v>
      </c>
      <c r="R46" s="7">
        <v>9</v>
      </c>
      <c r="S46" s="7">
        <v>3</v>
      </c>
      <c r="T46" s="7">
        <v>0</v>
      </c>
      <c r="U46" s="7" t="s">
        <v>9</v>
      </c>
      <c r="V46" s="7">
        <v>3</v>
      </c>
      <c r="W46" s="7">
        <v>11</v>
      </c>
      <c r="X46" s="7">
        <v>9</v>
      </c>
      <c r="Y46" s="7">
        <v>13</v>
      </c>
      <c r="Z46" s="7">
        <v>7</v>
      </c>
      <c r="AA46" s="7" t="s">
        <v>9</v>
      </c>
      <c r="AB46" s="7" t="s">
        <v>9</v>
      </c>
      <c r="AC46" s="7">
        <v>38</v>
      </c>
      <c r="AD46" s="7">
        <v>29</v>
      </c>
      <c r="AE46" s="7">
        <v>14</v>
      </c>
      <c r="AF46" s="7">
        <v>17</v>
      </c>
      <c r="AG46" s="23">
        <v>31</v>
      </c>
      <c r="AH46" s="27">
        <f t="shared" ref="AH46:AH54" si="10">SUM(C46:AG46)</f>
        <v>289</v>
      </c>
      <c r="AI46" s="85">
        <f>SUM(AH46:AH48)</f>
        <v>406</v>
      </c>
    </row>
    <row r="47" spans="1:35" ht="15" customHeight="1" x14ac:dyDescent="0.25">
      <c r="A47" s="88"/>
      <c r="B47" s="30" t="s">
        <v>19</v>
      </c>
      <c r="C47" s="3" t="s">
        <v>9</v>
      </c>
      <c r="D47" s="3">
        <v>4</v>
      </c>
      <c r="E47" s="3">
        <v>8</v>
      </c>
      <c r="F47" s="3">
        <v>3</v>
      </c>
      <c r="G47" s="3" t="s">
        <v>9</v>
      </c>
      <c r="H47" s="3">
        <v>0</v>
      </c>
      <c r="I47" s="3">
        <v>7</v>
      </c>
      <c r="J47" s="3">
        <v>2</v>
      </c>
      <c r="K47" s="3">
        <v>5</v>
      </c>
      <c r="L47" s="3">
        <v>1</v>
      </c>
      <c r="M47" s="3" t="s">
        <v>9</v>
      </c>
      <c r="N47" s="17" t="s">
        <v>9</v>
      </c>
      <c r="O47" s="3">
        <v>2</v>
      </c>
      <c r="P47" s="3">
        <v>4</v>
      </c>
      <c r="Q47" s="17" t="s">
        <v>30</v>
      </c>
      <c r="R47" s="3">
        <v>4</v>
      </c>
      <c r="S47" s="3">
        <v>7</v>
      </c>
      <c r="T47" s="3">
        <v>1</v>
      </c>
      <c r="U47" s="3" t="s">
        <v>9</v>
      </c>
      <c r="V47" s="3">
        <v>4</v>
      </c>
      <c r="W47" s="3">
        <v>9</v>
      </c>
      <c r="X47" s="3">
        <v>5</v>
      </c>
      <c r="Y47" s="3">
        <v>5</v>
      </c>
      <c r="Z47" s="3">
        <v>1</v>
      </c>
      <c r="AA47" s="3" t="s">
        <v>9</v>
      </c>
      <c r="AB47" s="3" t="s">
        <v>9</v>
      </c>
      <c r="AC47" s="3">
        <v>7</v>
      </c>
      <c r="AD47" s="3">
        <v>4</v>
      </c>
      <c r="AE47" s="3">
        <v>15</v>
      </c>
      <c r="AF47" s="3">
        <v>7</v>
      </c>
      <c r="AG47" s="24">
        <v>10</v>
      </c>
      <c r="AH47" s="28">
        <f t="shared" si="10"/>
        <v>115</v>
      </c>
      <c r="AI47" s="86"/>
    </row>
    <row r="48" spans="1:35" ht="15.75" customHeight="1" thickBot="1" x14ac:dyDescent="0.3">
      <c r="A48" s="88"/>
      <c r="B48" s="31" t="s">
        <v>20</v>
      </c>
      <c r="C48" s="8" t="s">
        <v>9</v>
      </c>
      <c r="D48" s="8">
        <v>0</v>
      </c>
      <c r="E48" s="8">
        <v>0</v>
      </c>
      <c r="F48" s="8">
        <v>0</v>
      </c>
      <c r="G48" s="8" t="s">
        <v>9</v>
      </c>
      <c r="H48" s="8">
        <v>1</v>
      </c>
      <c r="I48" s="8">
        <v>0</v>
      </c>
      <c r="J48" s="8">
        <v>0</v>
      </c>
      <c r="K48" s="8">
        <v>0</v>
      </c>
      <c r="L48" s="8">
        <v>0</v>
      </c>
      <c r="M48" s="8" t="s">
        <v>9</v>
      </c>
      <c r="N48" s="21" t="s">
        <v>9</v>
      </c>
      <c r="O48" s="8">
        <v>0</v>
      </c>
      <c r="P48" s="8">
        <v>1</v>
      </c>
      <c r="Q48" s="21" t="s">
        <v>30</v>
      </c>
      <c r="R48" s="8">
        <v>0</v>
      </c>
      <c r="S48" s="8">
        <v>0</v>
      </c>
      <c r="T48" s="8">
        <v>0</v>
      </c>
      <c r="U48" s="8" t="s">
        <v>9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 t="s">
        <v>9</v>
      </c>
      <c r="AB48" s="8" t="s">
        <v>9</v>
      </c>
      <c r="AC48" s="8">
        <v>0</v>
      </c>
      <c r="AD48" s="8">
        <v>0</v>
      </c>
      <c r="AE48" s="8">
        <v>0</v>
      </c>
      <c r="AF48" s="8">
        <v>0</v>
      </c>
      <c r="AG48" s="25">
        <v>0</v>
      </c>
      <c r="AH48" s="26">
        <f t="shared" si="10"/>
        <v>2</v>
      </c>
      <c r="AI48" s="87"/>
    </row>
    <row r="49" spans="1:35" x14ac:dyDescent="0.25">
      <c r="A49" s="105" t="s">
        <v>26</v>
      </c>
      <c r="B49" s="29" t="s">
        <v>18</v>
      </c>
      <c r="C49" s="7" t="s">
        <v>9</v>
      </c>
      <c r="D49" s="7">
        <v>4</v>
      </c>
      <c r="E49" s="7">
        <v>4</v>
      </c>
      <c r="F49" s="7" t="s">
        <v>9</v>
      </c>
      <c r="G49" s="7" t="s">
        <v>9</v>
      </c>
      <c r="H49" s="7">
        <v>11</v>
      </c>
      <c r="I49" s="7">
        <v>7</v>
      </c>
      <c r="J49" s="7">
        <v>7</v>
      </c>
      <c r="K49" s="7">
        <v>6</v>
      </c>
      <c r="L49" s="7">
        <v>5</v>
      </c>
      <c r="M49" s="7">
        <v>6</v>
      </c>
      <c r="N49" s="20" t="s">
        <v>9</v>
      </c>
      <c r="O49" s="7">
        <v>4</v>
      </c>
      <c r="P49" s="7">
        <v>2</v>
      </c>
      <c r="Q49" s="7">
        <v>3</v>
      </c>
      <c r="R49" s="7">
        <v>3</v>
      </c>
      <c r="S49" s="7">
        <v>3</v>
      </c>
      <c r="T49" s="7" t="s">
        <v>9</v>
      </c>
      <c r="U49" s="7" t="s">
        <v>9</v>
      </c>
      <c r="V49" s="7">
        <v>7</v>
      </c>
      <c r="W49" s="7">
        <v>1</v>
      </c>
      <c r="X49" s="7">
        <v>0</v>
      </c>
      <c r="Y49" s="7">
        <v>3</v>
      </c>
      <c r="Z49" s="7">
        <v>1</v>
      </c>
      <c r="AA49" s="7">
        <v>3</v>
      </c>
      <c r="AB49" s="7" t="s">
        <v>9</v>
      </c>
      <c r="AC49" s="7">
        <v>5</v>
      </c>
      <c r="AD49" s="7">
        <v>5</v>
      </c>
      <c r="AE49" s="7">
        <v>16</v>
      </c>
      <c r="AF49" s="7">
        <v>29</v>
      </c>
      <c r="AG49" s="23">
        <v>0</v>
      </c>
      <c r="AH49" s="27">
        <f t="shared" ref="AH49:AH51" si="11">SUM(C49:AG49)</f>
        <v>135</v>
      </c>
      <c r="AI49" s="85">
        <f>SUM(AH49:AH51)</f>
        <v>302</v>
      </c>
    </row>
    <row r="50" spans="1:35" ht="15" customHeight="1" x14ac:dyDescent="0.25">
      <c r="A50" s="105"/>
      <c r="B50" s="30" t="s">
        <v>19</v>
      </c>
      <c r="C50" s="3" t="s">
        <v>9</v>
      </c>
      <c r="D50" s="3">
        <v>4</v>
      </c>
      <c r="E50" s="3">
        <v>6</v>
      </c>
      <c r="F50" s="3" t="s">
        <v>9</v>
      </c>
      <c r="G50" s="3" t="s">
        <v>9</v>
      </c>
      <c r="H50" s="3">
        <v>8</v>
      </c>
      <c r="I50" s="3">
        <v>6</v>
      </c>
      <c r="J50" s="3">
        <v>4</v>
      </c>
      <c r="K50" s="3">
        <v>2</v>
      </c>
      <c r="L50" s="3">
        <v>5</v>
      </c>
      <c r="M50" s="3">
        <v>11</v>
      </c>
      <c r="N50" s="17" t="s">
        <v>9</v>
      </c>
      <c r="O50" s="3">
        <v>6</v>
      </c>
      <c r="P50" s="3">
        <v>3</v>
      </c>
      <c r="Q50" s="3">
        <v>1</v>
      </c>
      <c r="R50" s="3">
        <v>3</v>
      </c>
      <c r="S50" s="3">
        <v>7</v>
      </c>
      <c r="T50" s="3" t="s">
        <v>9</v>
      </c>
      <c r="U50" s="3" t="s">
        <v>9</v>
      </c>
      <c r="V50" s="3">
        <v>5</v>
      </c>
      <c r="W50" s="3">
        <v>4</v>
      </c>
      <c r="X50" s="3">
        <v>2</v>
      </c>
      <c r="Y50" s="3">
        <v>5</v>
      </c>
      <c r="Z50" s="3">
        <v>14</v>
      </c>
      <c r="AA50" s="3">
        <v>6</v>
      </c>
      <c r="AB50" s="3" t="s">
        <v>9</v>
      </c>
      <c r="AC50" s="3">
        <v>6</v>
      </c>
      <c r="AD50" s="3">
        <v>3</v>
      </c>
      <c r="AE50" s="3">
        <v>4</v>
      </c>
      <c r="AF50" s="3">
        <v>2</v>
      </c>
      <c r="AG50" s="24">
        <v>4</v>
      </c>
      <c r="AH50" s="28">
        <f t="shared" si="11"/>
        <v>121</v>
      </c>
      <c r="AI50" s="86"/>
    </row>
    <row r="51" spans="1:35" ht="15.75" customHeight="1" thickBot="1" x14ac:dyDescent="0.3">
      <c r="A51" s="105"/>
      <c r="B51" s="31" t="s">
        <v>20</v>
      </c>
      <c r="C51" s="8" t="s">
        <v>9</v>
      </c>
      <c r="D51" s="8">
        <v>1</v>
      </c>
      <c r="E51" s="8">
        <v>0</v>
      </c>
      <c r="F51" s="8" t="s">
        <v>9</v>
      </c>
      <c r="G51" s="8" t="s">
        <v>9</v>
      </c>
      <c r="H51" s="8">
        <v>1</v>
      </c>
      <c r="I51" s="8">
        <v>1</v>
      </c>
      <c r="J51" s="8">
        <v>2</v>
      </c>
      <c r="K51" s="8">
        <v>9</v>
      </c>
      <c r="L51" s="8">
        <v>0</v>
      </c>
      <c r="M51" s="8">
        <v>0</v>
      </c>
      <c r="N51" s="21" t="s">
        <v>9</v>
      </c>
      <c r="O51" s="8">
        <v>0</v>
      </c>
      <c r="P51" s="8">
        <v>0</v>
      </c>
      <c r="Q51" s="8">
        <v>3</v>
      </c>
      <c r="R51" s="8">
        <v>2</v>
      </c>
      <c r="S51" s="8">
        <v>11</v>
      </c>
      <c r="T51" s="8" t="s">
        <v>9</v>
      </c>
      <c r="U51" s="8" t="s">
        <v>9</v>
      </c>
      <c r="V51" s="8">
        <v>1</v>
      </c>
      <c r="W51" s="8">
        <v>0</v>
      </c>
      <c r="X51" s="8">
        <v>1</v>
      </c>
      <c r="Y51" s="8">
        <v>4</v>
      </c>
      <c r="Z51" s="8">
        <v>0</v>
      </c>
      <c r="AA51" s="8">
        <v>0</v>
      </c>
      <c r="AB51" s="8" t="s">
        <v>9</v>
      </c>
      <c r="AC51" s="8">
        <v>0</v>
      </c>
      <c r="AD51" s="8">
        <v>0</v>
      </c>
      <c r="AE51" s="8">
        <v>4</v>
      </c>
      <c r="AF51" s="8">
        <v>6</v>
      </c>
      <c r="AG51" s="25">
        <v>0</v>
      </c>
      <c r="AH51" s="26">
        <f t="shared" si="11"/>
        <v>46</v>
      </c>
      <c r="AI51" s="87"/>
    </row>
    <row r="52" spans="1:35" x14ac:dyDescent="0.25">
      <c r="A52" s="105" t="s">
        <v>22</v>
      </c>
      <c r="B52" s="29" t="s">
        <v>18</v>
      </c>
      <c r="C52" s="7" t="s">
        <v>9</v>
      </c>
      <c r="D52" s="7">
        <v>24</v>
      </c>
      <c r="E52" s="7">
        <v>9</v>
      </c>
      <c r="F52" s="7" t="s">
        <v>9</v>
      </c>
      <c r="G52" s="7" t="s">
        <v>9</v>
      </c>
      <c r="H52" s="7">
        <v>15</v>
      </c>
      <c r="I52" s="7">
        <v>17</v>
      </c>
      <c r="J52" s="7">
        <v>5</v>
      </c>
      <c r="K52" s="7">
        <v>0</v>
      </c>
      <c r="L52" s="7">
        <v>4</v>
      </c>
      <c r="M52" s="7">
        <v>9</v>
      </c>
      <c r="N52" s="7" t="s">
        <v>9</v>
      </c>
      <c r="O52" s="7">
        <v>6</v>
      </c>
      <c r="P52" s="7">
        <v>3</v>
      </c>
      <c r="Q52" s="20" t="s">
        <v>9</v>
      </c>
      <c r="R52" s="7">
        <v>7</v>
      </c>
      <c r="S52" s="7">
        <v>0</v>
      </c>
      <c r="T52" s="7" t="s">
        <v>9</v>
      </c>
      <c r="U52" s="7" t="s">
        <v>9</v>
      </c>
      <c r="V52" s="7">
        <v>19</v>
      </c>
      <c r="W52" s="7">
        <v>4</v>
      </c>
      <c r="X52" s="7">
        <v>1</v>
      </c>
      <c r="Y52" s="7">
        <v>20</v>
      </c>
      <c r="Z52" s="7">
        <v>5</v>
      </c>
      <c r="AA52" s="7">
        <v>15</v>
      </c>
      <c r="AB52" s="7" t="s">
        <v>9</v>
      </c>
      <c r="AC52" s="7">
        <v>0</v>
      </c>
      <c r="AD52" s="7">
        <v>26</v>
      </c>
      <c r="AE52" s="7">
        <v>9</v>
      </c>
      <c r="AF52" s="7">
        <v>26</v>
      </c>
      <c r="AG52" s="23">
        <v>35</v>
      </c>
      <c r="AH52" s="27">
        <f t="shared" si="10"/>
        <v>259</v>
      </c>
      <c r="AI52" s="85">
        <f>SUM(AH52:AH54)</f>
        <v>305</v>
      </c>
    </row>
    <row r="53" spans="1:35" ht="15" customHeight="1" x14ac:dyDescent="0.25">
      <c r="A53" s="105"/>
      <c r="B53" s="30" t="s">
        <v>19</v>
      </c>
      <c r="C53" s="3" t="s">
        <v>9</v>
      </c>
      <c r="D53" s="3">
        <v>1</v>
      </c>
      <c r="E53" s="3">
        <v>4</v>
      </c>
      <c r="F53" s="3" t="s">
        <v>9</v>
      </c>
      <c r="G53" s="3" t="s">
        <v>9</v>
      </c>
      <c r="H53" s="3">
        <v>1</v>
      </c>
      <c r="I53" s="3">
        <v>2</v>
      </c>
      <c r="J53" s="3">
        <v>2</v>
      </c>
      <c r="K53" s="3">
        <v>0</v>
      </c>
      <c r="L53" s="3">
        <v>0</v>
      </c>
      <c r="M53" s="3">
        <v>1</v>
      </c>
      <c r="N53" s="3" t="s">
        <v>9</v>
      </c>
      <c r="O53" s="3">
        <v>0</v>
      </c>
      <c r="P53" s="3">
        <v>2</v>
      </c>
      <c r="Q53" s="17" t="s">
        <v>9</v>
      </c>
      <c r="R53" s="3">
        <v>0</v>
      </c>
      <c r="S53" s="3">
        <v>0</v>
      </c>
      <c r="T53" s="3" t="s">
        <v>9</v>
      </c>
      <c r="U53" s="3" t="s">
        <v>9</v>
      </c>
      <c r="V53" s="3">
        <v>1</v>
      </c>
      <c r="W53" s="3">
        <v>1</v>
      </c>
      <c r="X53" s="3">
        <v>0</v>
      </c>
      <c r="Y53" s="3">
        <v>0</v>
      </c>
      <c r="Z53" s="3">
        <v>3</v>
      </c>
      <c r="AA53" s="3">
        <v>5</v>
      </c>
      <c r="AB53" s="3" t="s">
        <v>9</v>
      </c>
      <c r="AC53" s="3">
        <v>2</v>
      </c>
      <c r="AD53" s="3">
        <v>1</v>
      </c>
      <c r="AE53" s="3">
        <v>5</v>
      </c>
      <c r="AF53" s="3">
        <v>3</v>
      </c>
      <c r="AG53" s="24">
        <v>3</v>
      </c>
      <c r="AH53" s="28">
        <f t="shared" si="10"/>
        <v>37</v>
      </c>
      <c r="AI53" s="86"/>
    </row>
    <row r="54" spans="1:35" ht="15.75" customHeight="1" thickBot="1" x14ac:dyDescent="0.3">
      <c r="A54" s="105"/>
      <c r="B54" s="31" t="s">
        <v>20</v>
      </c>
      <c r="C54" s="8" t="s">
        <v>9</v>
      </c>
      <c r="D54" s="8">
        <v>1</v>
      </c>
      <c r="E54" s="8">
        <v>0</v>
      </c>
      <c r="F54" s="8" t="s">
        <v>9</v>
      </c>
      <c r="G54" s="8" t="s">
        <v>9</v>
      </c>
      <c r="H54" s="8">
        <v>0</v>
      </c>
      <c r="I54" s="8">
        <v>1</v>
      </c>
      <c r="J54" s="8">
        <v>2</v>
      </c>
      <c r="K54" s="8">
        <v>0</v>
      </c>
      <c r="L54" s="8">
        <v>0</v>
      </c>
      <c r="M54" s="8">
        <v>0</v>
      </c>
      <c r="N54" s="8" t="s">
        <v>9</v>
      </c>
      <c r="O54" s="8">
        <v>0</v>
      </c>
      <c r="P54" s="8">
        <v>0</v>
      </c>
      <c r="Q54" s="21" t="s">
        <v>9</v>
      </c>
      <c r="R54" s="8">
        <v>3</v>
      </c>
      <c r="S54" s="8">
        <v>0</v>
      </c>
      <c r="T54" s="8" t="s">
        <v>9</v>
      </c>
      <c r="U54" s="8" t="s">
        <v>9</v>
      </c>
      <c r="V54" s="8">
        <v>1</v>
      </c>
      <c r="W54" s="8">
        <v>0</v>
      </c>
      <c r="X54" s="8">
        <v>0</v>
      </c>
      <c r="Y54" s="8">
        <v>0</v>
      </c>
      <c r="Z54" s="8">
        <v>0</v>
      </c>
      <c r="AA54" s="8">
        <v>1</v>
      </c>
      <c r="AB54" s="8" t="s">
        <v>9</v>
      </c>
      <c r="AC54" s="8">
        <v>0</v>
      </c>
      <c r="AD54" s="8">
        <v>0</v>
      </c>
      <c r="AE54" s="8">
        <v>0</v>
      </c>
      <c r="AF54" s="8">
        <v>0</v>
      </c>
      <c r="AG54" s="25">
        <v>0</v>
      </c>
      <c r="AH54" s="26">
        <f t="shared" si="10"/>
        <v>9</v>
      </c>
      <c r="AI54" s="87"/>
    </row>
    <row r="55" spans="1:35" x14ac:dyDescent="0.25">
      <c r="A55" s="105" t="s">
        <v>25</v>
      </c>
      <c r="B55" s="29" t="s">
        <v>18</v>
      </c>
      <c r="C55" s="7" t="s">
        <v>10</v>
      </c>
      <c r="D55" s="7" t="s">
        <v>10</v>
      </c>
      <c r="E55" s="7" t="s">
        <v>10</v>
      </c>
      <c r="F55" s="7" t="s">
        <v>10</v>
      </c>
      <c r="G55" s="7" t="s">
        <v>10</v>
      </c>
      <c r="H55" s="7" t="s">
        <v>10</v>
      </c>
      <c r="I55" s="7" t="s">
        <v>10</v>
      </c>
      <c r="J55" s="7" t="s">
        <v>10</v>
      </c>
      <c r="K55" s="7" t="s">
        <v>10</v>
      </c>
      <c r="L55" s="7">
        <v>0</v>
      </c>
      <c r="M55" s="7">
        <v>0</v>
      </c>
      <c r="N55" s="20" t="s">
        <v>9</v>
      </c>
      <c r="O55" s="7">
        <v>2</v>
      </c>
      <c r="P55" s="7">
        <v>1</v>
      </c>
      <c r="Q55" s="7">
        <v>2</v>
      </c>
      <c r="R55" s="7">
        <v>0</v>
      </c>
      <c r="S55" s="7">
        <v>0</v>
      </c>
      <c r="T55" s="7" t="s">
        <v>9</v>
      </c>
      <c r="U55" s="7" t="s">
        <v>9</v>
      </c>
      <c r="V55" s="7">
        <v>0</v>
      </c>
      <c r="W55" s="7">
        <v>4</v>
      </c>
      <c r="X55" s="7">
        <v>3</v>
      </c>
      <c r="Y55" s="7">
        <v>0</v>
      </c>
      <c r="Z55" s="7">
        <v>0</v>
      </c>
      <c r="AA55" s="7" t="s">
        <v>9</v>
      </c>
      <c r="AB55" s="7" t="s">
        <v>9</v>
      </c>
      <c r="AC55" s="7">
        <v>0</v>
      </c>
      <c r="AD55" s="7">
        <v>0</v>
      </c>
      <c r="AE55" s="7">
        <v>0</v>
      </c>
      <c r="AF55" s="7">
        <v>6</v>
      </c>
      <c r="AG55" s="23">
        <v>8</v>
      </c>
      <c r="AH55" s="27">
        <f t="shared" ref="AH55:AH57" si="12">SUM(C55:AG55)</f>
        <v>26</v>
      </c>
      <c r="AI55" s="85">
        <f>SUM(AH55:AH57)</f>
        <v>90</v>
      </c>
    </row>
    <row r="56" spans="1:35" ht="15" customHeight="1" x14ac:dyDescent="0.25">
      <c r="A56" s="105"/>
      <c r="B56" s="30" t="s">
        <v>19</v>
      </c>
      <c r="C56" s="3" t="s">
        <v>10</v>
      </c>
      <c r="D56" s="3" t="s">
        <v>10</v>
      </c>
      <c r="E56" s="3" t="s">
        <v>10</v>
      </c>
      <c r="F56" s="3" t="s">
        <v>10</v>
      </c>
      <c r="G56" s="3" t="s">
        <v>10</v>
      </c>
      <c r="H56" s="3" t="s">
        <v>10</v>
      </c>
      <c r="I56" s="3" t="s">
        <v>10</v>
      </c>
      <c r="J56" s="3" t="s">
        <v>10</v>
      </c>
      <c r="K56" s="3" t="s">
        <v>10</v>
      </c>
      <c r="L56" s="3">
        <v>1</v>
      </c>
      <c r="M56" s="3">
        <v>0</v>
      </c>
      <c r="N56" s="17" t="s">
        <v>9</v>
      </c>
      <c r="O56" s="3">
        <v>3</v>
      </c>
      <c r="P56" s="3">
        <v>2</v>
      </c>
      <c r="Q56" s="3">
        <v>1</v>
      </c>
      <c r="R56" s="3">
        <v>4</v>
      </c>
      <c r="S56" s="3">
        <v>0</v>
      </c>
      <c r="T56" s="3" t="s">
        <v>9</v>
      </c>
      <c r="U56" s="3" t="s">
        <v>9</v>
      </c>
      <c r="V56" s="3">
        <v>3</v>
      </c>
      <c r="W56" s="3">
        <v>6</v>
      </c>
      <c r="X56" s="3">
        <v>1</v>
      </c>
      <c r="Y56" s="3">
        <v>0</v>
      </c>
      <c r="Z56" s="3">
        <v>0</v>
      </c>
      <c r="AA56" s="3" t="s">
        <v>9</v>
      </c>
      <c r="AB56" s="3" t="s">
        <v>9</v>
      </c>
      <c r="AC56" s="3">
        <v>0</v>
      </c>
      <c r="AD56" s="3">
        <v>2</v>
      </c>
      <c r="AE56" s="3">
        <v>3</v>
      </c>
      <c r="AF56" s="3">
        <v>8</v>
      </c>
      <c r="AG56" s="24">
        <v>25</v>
      </c>
      <c r="AH56" s="28">
        <f t="shared" si="12"/>
        <v>59</v>
      </c>
      <c r="AI56" s="86"/>
    </row>
    <row r="57" spans="1:35" ht="15.75" customHeight="1" thickBot="1" x14ac:dyDescent="0.3">
      <c r="A57" s="105"/>
      <c r="B57" s="31" t="s">
        <v>20</v>
      </c>
      <c r="C57" s="8" t="s">
        <v>10</v>
      </c>
      <c r="D57" s="8" t="s">
        <v>10</v>
      </c>
      <c r="E57" s="8" t="s">
        <v>10</v>
      </c>
      <c r="F57" s="8" t="s">
        <v>10</v>
      </c>
      <c r="G57" s="8" t="s">
        <v>10</v>
      </c>
      <c r="H57" s="8" t="s">
        <v>10</v>
      </c>
      <c r="I57" s="8" t="s">
        <v>10</v>
      </c>
      <c r="J57" s="8" t="s">
        <v>10</v>
      </c>
      <c r="K57" s="8" t="s">
        <v>10</v>
      </c>
      <c r="L57" s="8">
        <v>0</v>
      </c>
      <c r="M57" s="8">
        <v>0</v>
      </c>
      <c r="N57" s="21" t="s">
        <v>9</v>
      </c>
      <c r="O57" s="8">
        <v>0</v>
      </c>
      <c r="P57" s="8">
        <v>1</v>
      </c>
      <c r="Q57" s="8">
        <v>1</v>
      </c>
      <c r="R57" s="8">
        <v>0</v>
      </c>
      <c r="S57" s="8">
        <v>0</v>
      </c>
      <c r="T57" s="8" t="s">
        <v>9</v>
      </c>
      <c r="U57" s="8" t="s">
        <v>9</v>
      </c>
      <c r="V57" s="8">
        <v>0</v>
      </c>
      <c r="W57" s="8">
        <v>0</v>
      </c>
      <c r="X57" s="8">
        <v>2</v>
      </c>
      <c r="Y57" s="8">
        <v>0</v>
      </c>
      <c r="Z57" s="8">
        <v>0</v>
      </c>
      <c r="AA57" s="8" t="s">
        <v>9</v>
      </c>
      <c r="AB57" s="8" t="s">
        <v>9</v>
      </c>
      <c r="AC57" s="8">
        <v>0</v>
      </c>
      <c r="AD57" s="8">
        <v>0</v>
      </c>
      <c r="AE57" s="8">
        <v>0</v>
      </c>
      <c r="AF57" s="8">
        <v>0</v>
      </c>
      <c r="AG57" s="25">
        <v>1</v>
      </c>
      <c r="AH57" s="26">
        <f t="shared" si="12"/>
        <v>5</v>
      </c>
      <c r="AI57" s="87"/>
    </row>
    <row r="58" spans="1:35" x14ac:dyDescent="0.25">
      <c r="A58" s="105" t="s">
        <v>21</v>
      </c>
      <c r="B58" s="29" t="s">
        <v>18</v>
      </c>
      <c r="C58" s="7" t="s">
        <v>9</v>
      </c>
      <c r="D58" s="7" t="s">
        <v>10</v>
      </c>
      <c r="E58" s="7" t="s">
        <v>10</v>
      </c>
      <c r="F58" s="7" t="s">
        <v>10</v>
      </c>
      <c r="G58" s="7" t="s">
        <v>10</v>
      </c>
      <c r="H58" s="7" t="s">
        <v>10</v>
      </c>
      <c r="I58" s="7" t="s">
        <v>10</v>
      </c>
      <c r="J58" s="7" t="s">
        <v>10</v>
      </c>
      <c r="K58" s="7" t="s">
        <v>10</v>
      </c>
      <c r="L58" s="7" t="s">
        <v>10</v>
      </c>
      <c r="M58" s="7" t="s">
        <v>10</v>
      </c>
      <c r="N58" s="7" t="s">
        <v>10</v>
      </c>
      <c r="O58" s="7" t="s">
        <v>10</v>
      </c>
      <c r="P58" s="7" t="s">
        <v>10</v>
      </c>
      <c r="Q58" s="7" t="s">
        <v>10</v>
      </c>
      <c r="R58" s="7" t="s">
        <v>10</v>
      </c>
      <c r="S58" s="7" t="s">
        <v>10</v>
      </c>
      <c r="T58" s="7" t="s">
        <v>10</v>
      </c>
      <c r="U58" s="7" t="s">
        <v>10</v>
      </c>
      <c r="V58" s="7" t="s">
        <v>10</v>
      </c>
      <c r="W58" s="7" t="s">
        <v>10</v>
      </c>
      <c r="X58" s="7" t="s">
        <v>10</v>
      </c>
      <c r="Y58" s="7" t="s">
        <v>10</v>
      </c>
      <c r="Z58" s="7" t="s">
        <v>10</v>
      </c>
      <c r="AA58" s="7" t="s">
        <v>10</v>
      </c>
      <c r="AB58" s="7" t="s">
        <v>10</v>
      </c>
      <c r="AC58" s="7" t="s">
        <v>10</v>
      </c>
      <c r="AD58" s="7" t="s">
        <v>10</v>
      </c>
      <c r="AE58" s="7" t="s">
        <v>10</v>
      </c>
      <c r="AF58" s="7" t="s">
        <v>10</v>
      </c>
      <c r="AG58" s="23" t="s">
        <v>10</v>
      </c>
      <c r="AH58" s="27">
        <f t="shared" si="6"/>
        <v>0</v>
      </c>
      <c r="AI58" s="85">
        <f>SUM(AH58:AH60)</f>
        <v>0</v>
      </c>
    </row>
    <row r="59" spans="1:35" ht="15" customHeight="1" x14ac:dyDescent="0.25">
      <c r="A59" s="105"/>
      <c r="B59" s="30" t="s">
        <v>19</v>
      </c>
      <c r="C59" s="3" t="s">
        <v>9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 t="s">
        <v>10</v>
      </c>
      <c r="V59" s="3" t="s">
        <v>10</v>
      </c>
      <c r="W59" s="3" t="s">
        <v>10</v>
      </c>
      <c r="X59" s="3" t="s">
        <v>10</v>
      </c>
      <c r="Y59" s="3" t="s">
        <v>10</v>
      </c>
      <c r="Z59" s="3" t="s">
        <v>10</v>
      </c>
      <c r="AA59" s="3" t="s">
        <v>10</v>
      </c>
      <c r="AB59" s="3" t="s">
        <v>10</v>
      </c>
      <c r="AC59" s="3" t="s">
        <v>10</v>
      </c>
      <c r="AD59" s="3" t="s">
        <v>10</v>
      </c>
      <c r="AE59" s="3" t="s">
        <v>10</v>
      </c>
      <c r="AF59" s="3" t="s">
        <v>10</v>
      </c>
      <c r="AG59" s="24" t="s">
        <v>10</v>
      </c>
      <c r="AH59" s="28">
        <f t="shared" si="6"/>
        <v>0</v>
      </c>
      <c r="AI59" s="86"/>
    </row>
    <row r="60" spans="1:35" ht="15.75" customHeight="1" thickBot="1" x14ac:dyDescent="0.3">
      <c r="A60" s="105"/>
      <c r="B60" s="31" t="s">
        <v>20</v>
      </c>
      <c r="C60" s="8" t="s">
        <v>9</v>
      </c>
      <c r="D60" s="8" t="s">
        <v>10</v>
      </c>
      <c r="E60" s="8" t="s">
        <v>10</v>
      </c>
      <c r="F60" s="8" t="s">
        <v>10</v>
      </c>
      <c r="G60" s="8" t="s">
        <v>10</v>
      </c>
      <c r="H60" s="8" t="s">
        <v>10</v>
      </c>
      <c r="I60" s="8" t="s">
        <v>10</v>
      </c>
      <c r="J60" s="8" t="s">
        <v>10</v>
      </c>
      <c r="K60" s="8" t="s">
        <v>10</v>
      </c>
      <c r="L60" s="8" t="s">
        <v>10</v>
      </c>
      <c r="M60" s="8" t="s">
        <v>10</v>
      </c>
      <c r="N60" s="8" t="s">
        <v>10</v>
      </c>
      <c r="O60" s="8" t="s">
        <v>10</v>
      </c>
      <c r="P60" s="8" t="s">
        <v>10</v>
      </c>
      <c r="Q60" s="8" t="s">
        <v>10</v>
      </c>
      <c r="R60" s="8" t="s">
        <v>10</v>
      </c>
      <c r="S60" s="8" t="s">
        <v>10</v>
      </c>
      <c r="T60" s="8" t="s">
        <v>10</v>
      </c>
      <c r="U60" s="8" t="s">
        <v>10</v>
      </c>
      <c r="V60" s="8" t="s">
        <v>10</v>
      </c>
      <c r="W60" s="8" t="s">
        <v>10</v>
      </c>
      <c r="X60" s="8" t="s">
        <v>10</v>
      </c>
      <c r="Y60" s="8" t="s">
        <v>10</v>
      </c>
      <c r="Z60" s="8" t="s">
        <v>10</v>
      </c>
      <c r="AA60" s="8" t="s">
        <v>10</v>
      </c>
      <c r="AB60" s="8" t="s">
        <v>10</v>
      </c>
      <c r="AC60" s="8" t="s">
        <v>10</v>
      </c>
      <c r="AD60" s="8" t="s">
        <v>10</v>
      </c>
      <c r="AE60" s="8" t="s">
        <v>10</v>
      </c>
      <c r="AF60" s="8" t="s">
        <v>10</v>
      </c>
      <c r="AG60" s="25" t="s">
        <v>10</v>
      </c>
      <c r="AH60" s="26">
        <f t="shared" si="6"/>
        <v>0</v>
      </c>
      <c r="AI60" s="87"/>
    </row>
    <row r="61" spans="1:35" ht="13.5" thickBot="1" x14ac:dyDescent="0.3">
      <c r="A61" s="110" t="s">
        <v>1</v>
      </c>
      <c r="B61" s="111"/>
      <c r="C61" s="9">
        <f t="shared" ref="C61:AI61" si="13">SUM(C22:C60)</f>
        <v>46</v>
      </c>
      <c r="D61" s="9">
        <f t="shared" si="13"/>
        <v>351</v>
      </c>
      <c r="E61" s="9">
        <f t="shared" si="13"/>
        <v>292</v>
      </c>
      <c r="F61" s="9">
        <f t="shared" si="13"/>
        <v>96</v>
      </c>
      <c r="G61" s="9">
        <f t="shared" si="13"/>
        <v>0</v>
      </c>
      <c r="H61" s="9">
        <f t="shared" si="13"/>
        <v>396</v>
      </c>
      <c r="I61" s="9">
        <f t="shared" si="13"/>
        <v>200</v>
      </c>
      <c r="J61" s="9">
        <f t="shared" si="13"/>
        <v>179</v>
      </c>
      <c r="K61" s="9">
        <f t="shared" si="13"/>
        <v>175</v>
      </c>
      <c r="L61" s="9">
        <f t="shared" si="13"/>
        <v>217</v>
      </c>
      <c r="M61" s="9">
        <f t="shared" si="13"/>
        <v>49</v>
      </c>
      <c r="N61" s="9">
        <f t="shared" si="13"/>
        <v>0</v>
      </c>
      <c r="O61" s="9">
        <f t="shared" si="13"/>
        <v>164</v>
      </c>
      <c r="P61" s="9">
        <f t="shared" si="13"/>
        <v>150</v>
      </c>
      <c r="Q61" s="9">
        <f t="shared" si="13"/>
        <v>118</v>
      </c>
      <c r="R61" s="9">
        <f t="shared" si="13"/>
        <v>190</v>
      </c>
      <c r="S61" s="9">
        <f t="shared" si="13"/>
        <v>139</v>
      </c>
      <c r="T61" s="9">
        <f t="shared" si="13"/>
        <v>126</v>
      </c>
      <c r="U61" s="9">
        <f t="shared" si="13"/>
        <v>0</v>
      </c>
      <c r="V61" s="9">
        <f t="shared" si="13"/>
        <v>217</v>
      </c>
      <c r="W61" s="9">
        <f t="shared" si="13"/>
        <v>200</v>
      </c>
      <c r="X61" s="9">
        <f t="shared" si="13"/>
        <v>236</v>
      </c>
      <c r="Y61" s="9">
        <f t="shared" si="13"/>
        <v>245</v>
      </c>
      <c r="Z61" s="9">
        <f t="shared" si="13"/>
        <v>260</v>
      </c>
      <c r="AA61" s="9">
        <f t="shared" si="13"/>
        <v>60</v>
      </c>
      <c r="AB61" s="9">
        <f t="shared" si="13"/>
        <v>0</v>
      </c>
      <c r="AC61" s="9">
        <f t="shared" si="13"/>
        <v>396</v>
      </c>
      <c r="AD61" s="9">
        <f t="shared" si="13"/>
        <v>280</v>
      </c>
      <c r="AE61" s="9">
        <f t="shared" si="13"/>
        <v>294</v>
      </c>
      <c r="AF61" s="9">
        <f t="shared" si="13"/>
        <v>350</v>
      </c>
      <c r="AG61" s="9">
        <f t="shared" si="13"/>
        <v>351</v>
      </c>
      <c r="AH61" s="9">
        <f t="shared" si="13"/>
        <v>5777</v>
      </c>
      <c r="AI61" s="15">
        <f t="shared" si="13"/>
        <v>5777</v>
      </c>
    </row>
    <row r="63" spans="1:35" s="5" customFormat="1" ht="12" x14ac:dyDescent="0.25">
      <c r="C63" s="1" t="s">
        <v>10</v>
      </c>
      <c r="D63" s="109" t="s">
        <v>11</v>
      </c>
      <c r="E63" s="109"/>
      <c r="F63" s="6"/>
      <c r="G63" s="1" t="s">
        <v>9</v>
      </c>
      <c r="H63" s="109" t="s">
        <v>12</v>
      </c>
      <c r="I63" s="109"/>
      <c r="J63" s="6"/>
      <c r="K63" s="1" t="s">
        <v>13</v>
      </c>
      <c r="L63" s="109" t="s">
        <v>14</v>
      </c>
      <c r="M63" s="109"/>
      <c r="N63" s="109"/>
      <c r="O63" s="109"/>
      <c r="P63" s="109"/>
      <c r="Q63" s="6"/>
      <c r="R63" s="1" t="s">
        <v>15</v>
      </c>
      <c r="S63" s="109" t="s">
        <v>16</v>
      </c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</row>
  </sheetData>
  <mergeCells count="67">
    <mergeCell ref="S63:AI63"/>
    <mergeCell ref="AI49:AI51"/>
    <mergeCell ref="A31:A33"/>
    <mergeCell ref="AI31:AI33"/>
    <mergeCell ref="A40:A42"/>
    <mergeCell ref="AI40:AI42"/>
    <mergeCell ref="AI34:AI36"/>
    <mergeCell ref="A37:A39"/>
    <mergeCell ref="A61:B61"/>
    <mergeCell ref="D63:E63"/>
    <mergeCell ref="H63:I63"/>
    <mergeCell ref="L63:P63"/>
    <mergeCell ref="AI20:AI21"/>
    <mergeCell ref="A58:A60"/>
    <mergeCell ref="AI58:AI60"/>
    <mergeCell ref="A52:A54"/>
    <mergeCell ref="AI52:AI54"/>
    <mergeCell ref="A43:A45"/>
    <mergeCell ref="AI43:AI45"/>
    <mergeCell ref="A25:A27"/>
    <mergeCell ref="AI25:AI27"/>
    <mergeCell ref="A55:A57"/>
    <mergeCell ref="AI55:AI57"/>
    <mergeCell ref="A46:A48"/>
    <mergeCell ref="AI46:AI48"/>
    <mergeCell ref="A49:A51"/>
    <mergeCell ref="A28:A30"/>
    <mergeCell ref="AI28:AI30"/>
    <mergeCell ref="A14:B14"/>
    <mergeCell ref="AH14:AI14"/>
    <mergeCell ref="AI37:AI39"/>
    <mergeCell ref="A34:A36"/>
    <mergeCell ref="A16:B16"/>
    <mergeCell ref="AH16:AI16"/>
    <mergeCell ref="A15:B15"/>
    <mergeCell ref="AH15:AI15"/>
    <mergeCell ref="A22:A24"/>
    <mergeCell ref="AI22:AI24"/>
    <mergeCell ref="A17:B17"/>
    <mergeCell ref="AH17:AI17"/>
    <mergeCell ref="A19:AI19"/>
    <mergeCell ref="A20:A21"/>
    <mergeCell ref="B20:B21"/>
    <mergeCell ref="AH20:AH21"/>
    <mergeCell ref="A13:B13"/>
    <mergeCell ref="AH13:AI13"/>
    <mergeCell ref="A9:B9"/>
    <mergeCell ref="AH9:AI9"/>
    <mergeCell ref="A12:B12"/>
    <mergeCell ref="AH12:AI12"/>
    <mergeCell ref="A11:B11"/>
    <mergeCell ref="AH11:AI11"/>
    <mergeCell ref="A4:B4"/>
    <mergeCell ref="AH4:AI4"/>
    <mergeCell ref="A10:B10"/>
    <mergeCell ref="AH10:AI10"/>
    <mergeCell ref="A1:AI1"/>
    <mergeCell ref="A2:B3"/>
    <mergeCell ref="AH2:AI3"/>
    <mergeCell ref="A5:B5"/>
    <mergeCell ref="AH5:AI5"/>
    <mergeCell ref="A8:B8"/>
    <mergeCell ref="AH8:AI8"/>
    <mergeCell ref="A6:B6"/>
    <mergeCell ref="AH6:AI6"/>
    <mergeCell ref="A7:B7"/>
    <mergeCell ref="AH7:AI7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73DA-3BFC-40C4-9F3D-1F269CF997DA}">
  <dimension ref="A1:AH74"/>
  <sheetViews>
    <sheetView topLeftCell="A43" zoomScale="140" zoomScaleNormal="140" workbookViewId="0">
      <selection activeCell="AF55" sqref="AF55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" style="2" bestFit="1" customWidth="1"/>
    <col min="5" max="5" width="3.42578125" style="2" bestFit="1" customWidth="1"/>
    <col min="6" max="6" width="5.140625" style="2" bestFit="1" customWidth="1"/>
    <col min="7" max="7" width="4" style="2" customWidth="1"/>
    <col min="8" max="8" width="4.28515625" style="2" customWidth="1"/>
    <col min="9" max="10" width="4" style="2" customWidth="1"/>
    <col min="11" max="11" width="4.140625" style="2" customWidth="1"/>
    <col min="12" max="12" width="3.28515625" style="2" bestFit="1" customWidth="1"/>
    <col min="13" max="14" width="4" style="2" customWidth="1"/>
    <col min="15" max="15" width="4" style="19" customWidth="1"/>
    <col min="16" max="18" width="4" style="2" customWidth="1"/>
    <col min="19" max="19" width="3.28515625" style="2" bestFit="1" customWidth="1"/>
    <col min="20" max="20" width="4.140625" style="2" customWidth="1"/>
    <col min="21" max="22" width="4" style="2" customWidth="1"/>
    <col min="23" max="24" width="4" style="2" bestFit="1" customWidth="1"/>
    <col min="25" max="25" width="4" style="2" customWidth="1"/>
    <col min="26" max="26" width="3.28515625" style="2" bestFit="1" customWidth="1"/>
    <col min="27" max="27" width="4.5703125" style="2" customWidth="1"/>
    <col min="28" max="28" width="4.140625" style="2" customWidth="1"/>
    <col min="29" max="29" width="4.85546875" style="2" customWidth="1"/>
    <col min="30" max="30" width="4.28515625" style="2" customWidth="1"/>
    <col min="31" max="31" width="5" style="2" customWidth="1"/>
    <col min="32" max="32" width="5.5703125" style="2" customWidth="1"/>
    <col min="33" max="33" width="6.140625" style="2" customWidth="1"/>
    <col min="34" max="34" width="7.85546875" style="2" customWidth="1"/>
    <col min="35" max="16384" width="9.140625" style="2"/>
  </cols>
  <sheetData>
    <row r="1" spans="1:34" ht="22.5" customHeight="1" thickBot="1" x14ac:dyDescent="0.3">
      <c r="A1" s="76" t="s">
        <v>43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</row>
    <row r="2" spans="1:34" ht="59.25" customHeight="1" x14ac:dyDescent="0.25">
      <c r="A2" s="77" t="s">
        <v>0</v>
      </c>
      <c r="B2" s="112"/>
      <c r="C2" s="78"/>
      <c r="D2" s="11">
        <v>45689</v>
      </c>
      <c r="E2" s="11">
        <v>45690</v>
      </c>
      <c r="F2" s="11">
        <v>45691</v>
      </c>
      <c r="G2" s="11">
        <v>45692</v>
      </c>
      <c r="H2" s="11">
        <v>45693</v>
      </c>
      <c r="I2" s="11">
        <v>45694</v>
      </c>
      <c r="J2" s="11">
        <v>45695</v>
      </c>
      <c r="K2" s="11">
        <v>45696</v>
      </c>
      <c r="L2" s="11">
        <v>45697</v>
      </c>
      <c r="M2" s="11">
        <v>45698</v>
      </c>
      <c r="N2" s="11">
        <v>45699</v>
      </c>
      <c r="O2" s="11">
        <v>45700</v>
      </c>
      <c r="P2" s="11">
        <v>45701</v>
      </c>
      <c r="Q2" s="11">
        <v>45702</v>
      </c>
      <c r="R2" s="11">
        <v>45703</v>
      </c>
      <c r="S2" s="11">
        <v>45704</v>
      </c>
      <c r="T2" s="11">
        <v>45705</v>
      </c>
      <c r="U2" s="11">
        <v>45706</v>
      </c>
      <c r="V2" s="11">
        <v>45707</v>
      </c>
      <c r="W2" s="11">
        <v>45708</v>
      </c>
      <c r="X2" s="11">
        <v>45709</v>
      </c>
      <c r="Y2" s="11">
        <v>45710</v>
      </c>
      <c r="Z2" s="11">
        <v>45711</v>
      </c>
      <c r="AA2" s="11">
        <v>45712</v>
      </c>
      <c r="AB2" s="11">
        <v>45713</v>
      </c>
      <c r="AC2" s="11">
        <v>45714</v>
      </c>
      <c r="AD2" s="11">
        <v>45715</v>
      </c>
      <c r="AE2" s="11">
        <v>45716</v>
      </c>
      <c r="AF2" s="81" t="s">
        <v>1</v>
      </c>
      <c r="AG2" s="82"/>
    </row>
    <row r="3" spans="1:34" ht="71.25" customHeight="1" x14ac:dyDescent="0.25">
      <c r="A3" s="79"/>
      <c r="B3" s="113"/>
      <c r="C3" s="80"/>
      <c r="D3" s="12" t="s">
        <v>8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2</v>
      </c>
      <c r="M3" s="12" t="s">
        <v>3</v>
      </c>
      <c r="N3" s="12" t="s">
        <v>4</v>
      </c>
      <c r="O3" s="12" t="s">
        <v>5</v>
      </c>
      <c r="P3" s="12" t="s">
        <v>6</v>
      </c>
      <c r="Q3" s="12" t="s">
        <v>7</v>
      </c>
      <c r="R3" s="12" t="s">
        <v>8</v>
      </c>
      <c r="S3" s="12" t="s">
        <v>2</v>
      </c>
      <c r="T3" s="12" t="s">
        <v>3</v>
      </c>
      <c r="U3" s="12" t="s">
        <v>4</v>
      </c>
      <c r="V3" s="12" t="s">
        <v>5</v>
      </c>
      <c r="W3" s="12" t="s">
        <v>6</v>
      </c>
      <c r="X3" s="12" t="s">
        <v>7</v>
      </c>
      <c r="Y3" s="12" t="s">
        <v>8</v>
      </c>
      <c r="Z3" s="12" t="s">
        <v>2</v>
      </c>
      <c r="AA3" s="12" t="s">
        <v>3</v>
      </c>
      <c r="AB3" s="12" t="s">
        <v>4</v>
      </c>
      <c r="AC3" s="12" t="s">
        <v>5</v>
      </c>
      <c r="AD3" s="12" t="s">
        <v>6</v>
      </c>
      <c r="AE3" s="12" t="s">
        <v>7</v>
      </c>
      <c r="AF3" s="83"/>
      <c r="AG3" s="84"/>
    </row>
    <row r="4" spans="1:34" x14ac:dyDescent="0.25">
      <c r="A4" s="72" t="s">
        <v>39</v>
      </c>
      <c r="B4" s="114"/>
      <c r="C4" s="73"/>
      <c r="D4" s="3" t="s">
        <v>9</v>
      </c>
      <c r="E4" s="13" t="s">
        <v>9</v>
      </c>
      <c r="F4" s="3">
        <v>346</v>
      </c>
      <c r="G4" s="3">
        <v>231</v>
      </c>
      <c r="H4" s="13">
        <v>145</v>
      </c>
      <c r="I4" s="13">
        <v>111</v>
      </c>
      <c r="J4" s="3">
        <v>143</v>
      </c>
      <c r="K4" s="13" t="s">
        <v>9</v>
      </c>
      <c r="L4" s="13" t="s">
        <v>9</v>
      </c>
      <c r="M4" s="3">
        <v>27</v>
      </c>
      <c r="N4" s="13">
        <v>45</v>
      </c>
      <c r="O4" s="18">
        <v>70</v>
      </c>
      <c r="P4" s="18">
        <v>39</v>
      </c>
      <c r="Q4" s="13">
        <v>34</v>
      </c>
      <c r="R4" s="3">
        <v>13</v>
      </c>
      <c r="S4" s="13" t="s">
        <v>9</v>
      </c>
      <c r="T4" s="13">
        <v>35</v>
      </c>
      <c r="U4" s="13">
        <v>96</v>
      </c>
      <c r="V4" s="17">
        <v>63</v>
      </c>
      <c r="W4" s="13">
        <v>31</v>
      </c>
      <c r="X4" s="3">
        <v>10</v>
      </c>
      <c r="Y4" s="3" t="s">
        <v>9</v>
      </c>
      <c r="Z4" s="13" t="s">
        <v>9</v>
      </c>
      <c r="AA4" s="13">
        <v>184</v>
      </c>
      <c r="AB4" s="13">
        <v>104</v>
      </c>
      <c r="AC4" s="17">
        <v>70</v>
      </c>
      <c r="AD4" s="13">
        <v>110</v>
      </c>
      <c r="AE4" s="3">
        <v>49</v>
      </c>
      <c r="AF4" s="74">
        <f t="shared" ref="AF4:AF12" si="0">SUM(D4:AE4)</f>
        <v>1956</v>
      </c>
      <c r="AG4" s="75"/>
    </row>
    <row r="5" spans="1:34" x14ac:dyDescent="0.25">
      <c r="A5" s="72" t="s">
        <v>38</v>
      </c>
      <c r="B5" s="114"/>
      <c r="C5" s="73"/>
      <c r="D5" s="3">
        <v>51</v>
      </c>
      <c r="E5" s="13" t="s">
        <v>9</v>
      </c>
      <c r="F5" s="13">
        <v>115</v>
      </c>
      <c r="G5" s="13">
        <v>77</v>
      </c>
      <c r="H5" s="13">
        <v>73</v>
      </c>
      <c r="I5" s="13">
        <v>56</v>
      </c>
      <c r="J5" s="13">
        <v>59</v>
      </c>
      <c r="K5" s="13" t="s">
        <v>9</v>
      </c>
      <c r="L5" s="13" t="s">
        <v>9</v>
      </c>
      <c r="M5" s="3" t="s">
        <v>9</v>
      </c>
      <c r="N5" s="13">
        <v>133</v>
      </c>
      <c r="O5" s="18">
        <v>66</v>
      </c>
      <c r="P5" s="18">
        <v>59</v>
      </c>
      <c r="Q5" s="18" t="s">
        <v>30</v>
      </c>
      <c r="R5" s="18">
        <v>44</v>
      </c>
      <c r="S5" s="18" t="s">
        <v>9</v>
      </c>
      <c r="T5" s="18">
        <v>17</v>
      </c>
      <c r="U5" s="13">
        <v>86</v>
      </c>
      <c r="V5" s="17">
        <v>70</v>
      </c>
      <c r="W5" s="13">
        <v>53</v>
      </c>
      <c r="X5" s="3">
        <v>43</v>
      </c>
      <c r="Y5" s="3">
        <v>27</v>
      </c>
      <c r="Z5" s="13" t="s">
        <v>9</v>
      </c>
      <c r="AA5" s="13">
        <v>95</v>
      </c>
      <c r="AB5" s="13">
        <v>114</v>
      </c>
      <c r="AC5" s="17">
        <v>103</v>
      </c>
      <c r="AD5" s="13">
        <v>69</v>
      </c>
      <c r="AE5" s="3">
        <v>55</v>
      </c>
      <c r="AF5" s="74">
        <f>SUM(D5:AE5)</f>
        <v>1465</v>
      </c>
      <c r="AG5" s="75"/>
    </row>
    <row r="6" spans="1:34" x14ac:dyDescent="0.25">
      <c r="A6" s="72" t="s">
        <v>32</v>
      </c>
      <c r="B6" s="114"/>
      <c r="C6" s="73"/>
      <c r="D6" s="3">
        <v>110</v>
      </c>
      <c r="E6" s="3" t="s">
        <v>9</v>
      </c>
      <c r="F6" s="13">
        <v>224</v>
      </c>
      <c r="G6" s="13">
        <v>105</v>
      </c>
      <c r="H6" s="3">
        <v>75</v>
      </c>
      <c r="I6" s="13">
        <v>78</v>
      </c>
      <c r="J6" s="3">
        <v>62</v>
      </c>
      <c r="K6" s="13" t="s">
        <v>9</v>
      </c>
      <c r="L6" s="13" t="s">
        <v>9</v>
      </c>
      <c r="M6" s="3">
        <v>44</v>
      </c>
      <c r="N6" s="13">
        <v>26</v>
      </c>
      <c r="O6" s="17">
        <v>15</v>
      </c>
      <c r="P6" s="17">
        <v>1</v>
      </c>
      <c r="Q6" s="3">
        <v>7</v>
      </c>
      <c r="R6" s="17">
        <v>7</v>
      </c>
      <c r="S6" s="13" t="s">
        <v>9</v>
      </c>
      <c r="T6" s="13" t="s">
        <v>30</v>
      </c>
      <c r="U6" s="13">
        <v>53</v>
      </c>
      <c r="V6" s="17">
        <v>72</v>
      </c>
      <c r="W6" s="17">
        <v>41</v>
      </c>
      <c r="X6" s="3">
        <v>21</v>
      </c>
      <c r="Y6" s="3" t="s">
        <v>9</v>
      </c>
      <c r="Z6" s="13" t="s">
        <v>9</v>
      </c>
      <c r="AA6" s="13">
        <v>84</v>
      </c>
      <c r="AB6" s="13">
        <v>94</v>
      </c>
      <c r="AC6" s="17">
        <v>37</v>
      </c>
      <c r="AD6" s="13">
        <v>34</v>
      </c>
      <c r="AE6" s="13">
        <v>46</v>
      </c>
      <c r="AF6" s="74">
        <f t="shared" ref="AF6:AF11" si="1">SUM(D6:AE6)</f>
        <v>1236</v>
      </c>
      <c r="AG6" s="75"/>
    </row>
    <row r="7" spans="1:34" x14ac:dyDescent="0.25">
      <c r="A7" s="72" t="s">
        <v>35</v>
      </c>
      <c r="B7" s="114"/>
      <c r="C7" s="73"/>
      <c r="D7" s="3" t="s">
        <v>9</v>
      </c>
      <c r="E7" s="3" t="s">
        <v>9</v>
      </c>
      <c r="F7" s="3">
        <v>100</v>
      </c>
      <c r="G7" s="3">
        <v>93</v>
      </c>
      <c r="H7" s="3">
        <v>65</v>
      </c>
      <c r="I7" s="13">
        <v>22</v>
      </c>
      <c r="J7" s="3">
        <v>64</v>
      </c>
      <c r="K7" s="3" t="s">
        <v>9</v>
      </c>
      <c r="L7" s="3" t="s">
        <v>9</v>
      </c>
      <c r="M7" s="3">
        <v>46</v>
      </c>
      <c r="N7" s="3">
        <v>37</v>
      </c>
      <c r="O7" s="17">
        <v>70</v>
      </c>
      <c r="P7" s="17">
        <v>52</v>
      </c>
      <c r="Q7" s="3">
        <v>69</v>
      </c>
      <c r="R7" s="3" t="s">
        <v>9</v>
      </c>
      <c r="S7" s="3" t="s">
        <v>9</v>
      </c>
      <c r="T7" s="3">
        <v>34</v>
      </c>
      <c r="U7" s="3">
        <v>67</v>
      </c>
      <c r="V7" s="17">
        <v>43</v>
      </c>
      <c r="W7" s="3">
        <v>29</v>
      </c>
      <c r="X7" s="3">
        <v>22</v>
      </c>
      <c r="Y7" s="3" t="s">
        <v>9</v>
      </c>
      <c r="Z7" s="3" t="s">
        <v>9</v>
      </c>
      <c r="AA7" s="3">
        <v>131</v>
      </c>
      <c r="AB7" s="3">
        <v>120</v>
      </c>
      <c r="AC7" s="17">
        <v>86</v>
      </c>
      <c r="AD7" s="3">
        <v>20</v>
      </c>
      <c r="AE7" s="3">
        <v>46</v>
      </c>
      <c r="AF7" s="74">
        <f t="shared" si="1"/>
        <v>1216</v>
      </c>
      <c r="AG7" s="75"/>
    </row>
    <row r="8" spans="1:34" x14ac:dyDescent="0.25">
      <c r="A8" s="72" t="s">
        <v>34</v>
      </c>
      <c r="B8" s="114"/>
      <c r="C8" s="73"/>
      <c r="D8" s="3" t="s">
        <v>9</v>
      </c>
      <c r="E8" s="3" t="s">
        <v>9</v>
      </c>
      <c r="F8" s="3">
        <v>124</v>
      </c>
      <c r="G8" s="3">
        <v>97</v>
      </c>
      <c r="H8" s="3">
        <v>56</v>
      </c>
      <c r="I8" s="13">
        <v>42</v>
      </c>
      <c r="J8" s="3">
        <v>62</v>
      </c>
      <c r="K8" s="13">
        <v>49</v>
      </c>
      <c r="L8" s="3" t="s">
        <v>9</v>
      </c>
      <c r="M8" s="3">
        <v>20</v>
      </c>
      <c r="N8" s="3">
        <v>12</v>
      </c>
      <c r="O8" s="17">
        <v>26</v>
      </c>
      <c r="P8" s="17">
        <v>25</v>
      </c>
      <c r="Q8" s="3" t="s">
        <v>9</v>
      </c>
      <c r="R8" s="3" t="s">
        <v>9</v>
      </c>
      <c r="S8" s="3" t="s">
        <v>9</v>
      </c>
      <c r="T8" s="3">
        <v>29</v>
      </c>
      <c r="U8" s="13">
        <v>73</v>
      </c>
      <c r="V8" s="17">
        <v>75</v>
      </c>
      <c r="W8" s="3">
        <v>72</v>
      </c>
      <c r="X8" s="3">
        <v>29</v>
      </c>
      <c r="Y8" s="3">
        <v>38</v>
      </c>
      <c r="Z8" s="3" t="s">
        <v>9</v>
      </c>
      <c r="AA8" s="3">
        <v>123</v>
      </c>
      <c r="AB8" s="3">
        <v>96</v>
      </c>
      <c r="AC8" s="17">
        <v>56</v>
      </c>
      <c r="AD8" s="3">
        <v>38</v>
      </c>
      <c r="AE8" s="3">
        <v>18</v>
      </c>
      <c r="AF8" s="74">
        <f>SUM(D8:AE8)</f>
        <v>1160</v>
      </c>
      <c r="AG8" s="75"/>
    </row>
    <row r="9" spans="1:34" x14ac:dyDescent="0.25">
      <c r="A9" s="72" t="s">
        <v>33</v>
      </c>
      <c r="B9" s="114"/>
      <c r="C9" s="73"/>
      <c r="D9" s="3" t="s">
        <v>9</v>
      </c>
      <c r="E9" s="3" t="s">
        <v>9</v>
      </c>
      <c r="F9" s="3">
        <v>131</v>
      </c>
      <c r="G9" s="3">
        <v>48</v>
      </c>
      <c r="H9" s="3">
        <v>51</v>
      </c>
      <c r="I9" s="3">
        <v>32</v>
      </c>
      <c r="J9" s="3">
        <v>68</v>
      </c>
      <c r="K9" s="13">
        <v>42</v>
      </c>
      <c r="L9" s="3" t="s">
        <v>9</v>
      </c>
      <c r="M9" s="3">
        <v>46</v>
      </c>
      <c r="N9" s="3">
        <v>11</v>
      </c>
      <c r="O9" s="17">
        <v>45</v>
      </c>
      <c r="P9" s="17">
        <v>26</v>
      </c>
      <c r="Q9" s="18">
        <v>23</v>
      </c>
      <c r="R9" s="18">
        <v>36</v>
      </c>
      <c r="S9" s="3" t="s">
        <v>9</v>
      </c>
      <c r="T9" s="3">
        <v>21</v>
      </c>
      <c r="U9" s="13">
        <v>70</v>
      </c>
      <c r="V9" s="17">
        <v>40</v>
      </c>
      <c r="W9" s="3">
        <v>41</v>
      </c>
      <c r="X9" s="34">
        <v>23</v>
      </c>
      <c r="Y9" s="3">
        <v>18</v>
      </c>
      <c r="Z9" s="3" t="s">
        <v>9</v>
      </c>
      <c r="AA9" s="3">
        <v>121</v>
      </c>
      <c r="AB9" s="3">
        <v>2</v>
      </c>
      <c r="AC9" s="17">
        <v>31</v>
      </c>
      <c r="AD9" s="3">
        <v>27</v>
      </c>
      <c r="AE9" s="3">
        <v>46</v>
      </c>
      <c r="AF9" s="74">
        <f>SUM(D9:AE9)</f>
        <v>999</v>
      </c>
      <c r="AG9" s="75"/>
    </row>
    <row r="10" spans="1:34" x14ac:dyDescent="0.25">
      <c r="A10" s="72" t="s">
        <v>36</v>
      </c>
      <c r="B10" s="114"/>
      <c r="C10" s="73"/>
      <c r="D10" s="3">
        <v>6</v>
      </c>
      <c r="E10" s="3" t="s">
        <v>9</v>
      </c>
      <c r="F10" s="3">
        <v>77</v>
      </c>
      <c r="G10" s="3">
        <v>111</v>
      </c>
      <c r="H10" s="3">
        <v>34</v>
      </c>
      <c r="I10" s="3">
        <v>15</v>
      </c>
      <c r="J10" s="2">
        <v>21</v>
      </c>
      <c r="K10" s="3" t="s">
        <v>9</v>
      </c>
      <c r="L10" s="3" t="s">
        <v>9</v>
      </c>
      <c r="M10" s="3">
        <v>14</v>
      </c>
      <c r="N10" s="3">
        <v>17</v>
      </c>
      <c r="O10" s="17">
        <v>9</v>
      </c>
      <c r="P10" s="17">
        <v>6</v>
      </c>
      <c r="Q10" s="3">
        <v>18</v>
      </c>
      <c r="R10" s="3">
        <v>17</v>
      </c>
      <c r="S10" s="3" t="s">
        <v>9</v>
      </c>
      <c r="T10" s="3">
        <v>52</v>
      </c>
      <c r="U10" s="3">
        <v>61</v>
      </c>
      <c r="V10" s="17">
        <v>74</v>
      </c>
      <c r="W10" s="3">
        <v>60</v>
      </c>
      <c r="X10" s="3">
        <v>13</v>
      </c>
      <c r="Y10" s="3" t="s">
        <v>9</v>
      </c>
      <c r="Z10" s="3" t="s">
        <v>9</v>
      </c>
      <c r="AA10" s="3">
        <v>96</v>
      </c>
      <c r="AB10" s="3">
        <v>150</v>
      </c>
      <c r="AC10" s="17">
        <v>14</v>
      </c>
      <c r="AD10" s="17" t="s">
        <v>30</v>
      </c>
      <c r="AE10" s="3" t="s">
        <v>30</v>
      </c>
      <c r="AF10" s="74">
        <f>SUM(D10:AE10)</f>
        <v>865</v>
      </c>
      <c r="AG10" s="75"/>
    </row>
    <row r="11" spans="1:34" x14ac:dyDescent="0.25">
      <c r="A11" s="72" t="s">
        <v>23</v>
      </c>
      <c r="B11" s="114"/>
      <c r="C11" s="73"/>
      <c r="D11" s="3" t="s">
        <v>9</v>
      </c>
      <c r="E11" s="13" t="s">
        <v>9</v>
      </c>
      <c r="F11" s="13">
        <v>105</v>
      </c>
      <c r="G11" s="3">
        <v>76</v>
      </c>
      <c r="H11" s="13">
        <v>37</v>
      </c>
      <c r="I11" s="3">
        <v>42</v>
      </c>
      <c r="J11" s="3" t="s">
        <v>9</v>
      </c>
      <c r="K11" s="3">
        <v>25</v>
      </c>
      <c r="L11" s="13" t="s">
        <v>9</v>
      </c>
      <c r="M11" s="3">
        <v>113</v>
      </c>
      <c r="N11" s="13">
        <v>26</v>
      </c>
      <c r="O11" s="18">
        <v>20</v>
      </c>
      <c r="P11" s="18">
        <v>1</v>
      </c>
      <c r="Q11" s="13">
        <v>5</v>
      </c>
      <c r="R11" s="13" t="s">
        <v>9</v>
      </c>
      <c r="S11" s="13" t="s">
        <v>9</v>
      </c>
      <c r="T11" s="18">
        <v>44</v>
      </c>
      <c r="U11" s="13">
        <v>84</v>
      </c>
      <c r="V11" s="17">
        <v>60</v>
      </c>
      <c r="W11" s="13">
        <v>40</v>
      </c>
      <c r="X11" s="3">
        <v>27</v>
      </c>
      <c r="Y11" s="18">
        <v>1</v>
      </c>
      <c r="Z11" s="13" t="s">
        <v>9</v>
      </c>
      <c r="AA11" s="13" t="s">
        <v>30</v>
      </c>
      <c r="AB11" s="13">
        <v>132</v>
      </c>
      <c r="AC11" s="17">
        <v>38</v>
      </c>
      <c r="AD11" s="13">
        <v>34</v>
      </c>
      <c r="AE11" s="13">
        <v>40</v>
      </c>
      <c r="AF11" s="74">
        <f t="shared" si="1"/>
        <v>950</v>
      </c>
      <c r="AG11" s="75"/>
    </row>
    <row r="12" spans="1:34" x14ac:dyDescent="0.25">
      <c r="A12" s="72" t="s">
        <v>22</v>
      </c>
      <c r="B12" s="114"/>
      <c r="C12" s="73"/>
      <c r="D12" s="3" t="s">
        <v>9</v>
      </c>
      <c r="E12" s="3" t="s">
        <v>9</v>
      </c>
      <c r="F12" s="3">
        <v>76</v>
      </c>
      <c r="G12" s="3">
        <v>94</v>
      </c>
      <c r="H12" s="3">
        <v>26</v>
      </c>
      <c r="I12" s="13">
        <v>11</v>
      </c>
      <c r="J12" s="3">
        <v>2</v>
      </c>
      <c r="K12" s="3">
        <v>5</v>
      </c>
      <c r="L12" s="3" t="s">
        <v>9</v>
      </c>
      <c r="M12" s="3">
        <v>35</v>
      </c>
      <c r="N12" s="3">
        <v>26</v>
      </c>
      <c r="O12" s="17">
        <v>17</v>
      </c>
      <c r="P12" s="17">
        <v>6</v>
      </c>
      <c r="Q12" s="13">
        <v>6</v>
      </c>
      <c r="R12" s="13" t="s">
        <v>9</v>
      </c>
      <c r="S12" s="3" t="s">
        <v>9</v>
      </c>
      <c r="T12" s="3">
        <v>2</v>
      </c>
      <c r="U12" s="3">
        <v>56</v>
      </c>
      <c r="V12" s="17">
        <v>47</v>
      </c>
      <c r="W12" s="3">
        <v>17</v>
      </c>
      <c r="X12" s="3">
        <v>15</v>
      </c>
      <c r="Y12" s="3">
        <v>46</v>
      </c>
      <c r="Z12" s="3" t="s">
        <v>9</v>
      </c>
      <c r="AA12" s="3">
        <v>121</v>
      </c>
      <c r="AB12" s="3">
        <v>74</v>
      </c>
      <c r="AC12" s="17">
        <v>11</v>
      </c>
      <c r="AD12" s="3">
        <v>30</v>
      </c>
      <c r="AE12" s="3">
        <v>28</v>
      </c>
      <c r="AF12" s="74">
        <f t="shared" si="0"/>
        <v>751</v>
      </c>
      <c r="AG12" s="75"/>
    </row>
    <row r="13" spans="1:34" ht="13.5" thickBot="1" x14ac:dyDescent="0.3">
      <c r="A13" s="92" t="s">
        <v>1</v>
      </c>
      <c r="B13" s="115"/>
      <c r="C13" s="93"/>
      <c r="D13" s="10">
        <f>SUM(D4:D12)</f>
        <v>167</v>
      </c>
      <c r="E13" s="10" t="s">
        <v>29</v>
      </c>
      <c r="F13" s="10">
        <f t="shared" ref="F13:K13" si="2">SUM(F4:F12)</f>
        <v>1298</v>
      </c>
      <c r="G13" s="10">
        <f t="shared" si="2"/>
        <v>932</v>
      </c>
      <c r="H13" s="10">
        <f t="shared" si="2"/>
        <v>562</v>
      </c>
      <c r="I13" s="10">
        <f t="shared" si="2"/>
        <v>409</v>
      </c>
      <c r="J13" s="10">
        <f t="shared" si="2"/>
        <v>481</v>
      </c>
      <c r="K13" s="10">
        <f t="shared" si="2"/>
        <v>121</v>
      </c>
      <c r="L13" s="10" t="s">
        <v>29</v>
      </c>
      <c r="M13" s="10">
        <f t="shared" ref="M13:R13" si="3">SUM(M4:M12)</f>
        <v>345</v>
      </c>
      <c r="N13" s="10">
        <f t="shared" si="3"/>
        <v>333</v>
      </c>
      <c r="O13" s="10">
        <f t="shared" si="3"/>
        <v>338</v>
      </c>
      <c r="P13" s="10">
        <f t="shared" si="3"/>
        <v>215</v>
      </c>
      <c r="Q13" s="10">
        <f t="shared" si="3"/>
        <v>162</v>
      </c>
      <c r="R13" s="10">
        <f t="shared" si="3"/>
        <v>117</v>
      </c>
      <c r="S13" s="10" t="s">
        <v>29</v>
      </c>
      <c r="T13" s="10">
        <f t="shared" ref="T13:Y13" si="4">SUM(T4:T12)</f>
        <v>234</v>
      </c>
      <c r="U13" s="10">
        <f t="shared" si="4"/>
        <v>646</v>
      </c>
      <c r="V13" s="10">
        <f t="shared" si="4"/>
        <v>544</v>
      </c>
      <c r="W13" s="10">
        <f t="shared" si="4"/>
        <v>384</v>
      </c>
      <c r="X13" s="10">
        <f t="shared" si="4"/>
        <v>203</v>
      </c>
      <c r="Y13" s="10">
        <f t="shared" si="4"/>
        <v>130</v>
      </c>
      <c r="Z13" s="10" t="s">
        <v>29</v>
      </c>
      <c r="AA13" s="10">
        <f>SUM(AA4:AA12)</f>
        <v>955</v>
      </c>
      <c r="AB13" s="10">
        <f>SUM(AB4:AB12)</f>
        <v>886</v>
      </c>
      <c r="AC13" s="10">
        <f>SUM(AC4:AC12)</f>
        <v>446</v>
      </c>
      <c r="AD13" s="10">
        <f>SUM(AD4:AD12)</f>
        <v>362</v>
      </c>
      <c r="AE13" s="10">
        <f>SUM(AE4:AE12)</f>
        <v>328</v>
      </c>
      <c r="AF13" s="116">
        <f>SUM(D13:AE13)</f>
        <v>10598</v>
      </c>
      <c r="AG13" s="117"/>
      <c r="AH13" s="4"/>
    </row>
    <row r="14" spans="1:34" ht="13.5" thickBot="1" x14ac:dyDescent="0.3"/>
    <row r="15" spans="1:34" ht="22.5" customHeight="1" thickBot="1" x14ac:dyDescent="0.3">
      <c r="A15" s="96" t="s">
        <v>44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4" ht="57" customHeight="1" thickBot="1" x14ac:dyDescent="0.3">
      <c r="A16" s="97" t="s">
        <v>0</v>
      </c>
      <c r="B16" s="132" t="s">
        <v>17</v>
      </c>
      <c r="C16" s="133"/>
      <c r="D16" s="11">
        <v>45689</v>
      </c>
      <c r="E16" s="11">
        <v>45690</v>
      </c>
      <c r="F16" s="11">
        <v>45691</v>
      </c>
      <c r="G16" s="11">
        <v>45692</v>
      </c>
      <c r="H16" s="11">
        <v>45693</v>
      </c>
      <c r="I16" s="11">
        <v>45694</v>
      </c>
      <c r="J16" s="11">
        <v>45695</v>
      </c>
      <c r="K16" s="11">
        <v>45696</v>
      </c>
      <c r="L16" s="11">
        <v>45697</v>
      </c>
      <c r="M16" s="11">
        <v>45698</v>
      </c>
      <c r="N16" s="11">
        <v>45699</v>
      </c>
      <c r="O16" s="11">
        <v>45700</v>
      </c>
      <c r="P16" s="11">
        <v>45701</v>
      </c>
      <c r="Q16" s="11">
        <v>45702</v>
      </c>
      <c r="R16" s="11">
        <v>45703</v>
      </c>
      <c r="S16" s="11">
        <v>45704</v>
      </c>
      <c r="T16" s="11">
        <v>45705</v>
      </c>
      <c r="U16" s="11">
        <v>45706</v>
      </c>
      <c r="V16" s="11">
        <v>45707</v>
      </c>
      <c r="W16" s="11">
        <v>45708</v>
      </c>
      <c r="X16" s="11">
        <v>45709</v>
      </c>
      <c r="Y16" s="11">
        <v>45710</v>
      </c>
      <c r="Z16" s="11">
        <v>45711</v>
      </c>
      <c r="AA16" s="11">
        <v>45712</v>
      </c>
      <c r="AB16" s="11">
        <v>45713</v>
      </c>
      <c r="AC16" s="11">
        <v>45714</v>
      </c>
      <c r="AD16" s="11">
        <v>45715</v>
      </c>
      <c r="AE16" s="11">
        <v>45716</v>
      </c>
      <c r="AF16" s="101" t="s">
        <v>28</v>
      </c>
      <c r="AG16" s="103" t="s">
        <v>27</v>
      </c>
    </row>
    <row r="17" spans="1:33" ht="68.25" customHeight="1" thickBot="1" x14ac:dyDescent="0.3">
      <c r="A17" s="118"/>
      <c r="B17" s="134"/>
      <c r="C17" s="135"/>
      <c r="D17" s="37" t="s">
        <v>8</v>
      </c>
      <c r="E17" s="37" t="s">
        <v>2</v>
      </c>
      <c r="F17" s="37" t="s">
        <v>3</v>
      </c>
      <c r="G17" s="37" t="s">
        <v>4</v>
      </c>
      <c r="H17" s="37" t="s">
        <v>5</v>
      </c>
      <c r="I17" s="37" t="s">
        <v>6</v>
      </c>
      <c r="J17" s="37" t="s">
        <v>7</v>
      </c>
      <c r="K17" s="37" t="s">
        <v>8</v>
      </c>
      <c r="L17" s="37" t="s">
        <v>2</v>
      </c>
      <c r="M17" s="37" t="s">
        <v>3</v>
      </c>
      <c r="N17" s="37" t="s">
        <v>4</v>
      </c>
      <c r="O17" s="37" t="s">
        <v>5</v>
      </c>
      <c r="P17" s="37" t="s">
        <v>6</v>
      </c>
      <c r="Q17" s="37" t="s">
        <v>7</v>
      </c>
      <c r="R17" s="37" t="s">
        <v>8</v>
      </c>
      <c r="S17" s="37" t="s">
        <v>2</v>
      </c>
      <c r="T17" s="37" t="s">
        <v>3</v>
      </c>
      <c r="U17" s="37" t="s">
        <v>4</v>
      </c>
      <c r="V17" s="37" t="s">
        <v>5</v>
      </c>
      <c r="W17" s="37" t="s">
        <v>6</v>
      </c>
      <c r="X17" s="37" t="s">
        <v>7</v>
      </c>
      <c r="Y17" s="37" t="s">
        <v>8</v>
      </c>
      <c r="Z17" s="37" t="s">
        <v>2</v>
      </c>
      <c r="AA17" s="37" t="s">
        <v>3</v>
      </c>
      <c r="AB17" s="37" t="s">
        <v>4</v>
      </c>
      <c r="AC17" s="37" t="s">
        <v>5</v>
      </c>
      <c r="AD17" s="37" t="s">
        <v>6</v>
      </c>
      <c r="AE17" s="37" t="s">
        <v>7</v>
      </c>
      <c r="AF17" s="119"/>
      <c r="AG17" s="120"/>
    </row>
    <row r="18" spans="1:33" x14ac:dyDescent="0.25">
      <c r="A18" s="108" t="s">
        <v>39</v>
      </c>
      <c r="B18" s="125" t="s">
        <v>18</v>
      </c>
      <c r="C18" s="32" t="s">
        <v>48</v>
      </c>
      <c r="D18" s="14" t="s">
        <v>9</v>
      </c>
      <c r="E18" s="14" t="s">
        <v>9</v>
      </c>
      <c r="F18" s="14">
        <v>15</v>
      </c>
      <c r="G18" s="14">
        <v>14</v>
      </c>
      <c r="H18" s="14">
        <v>18</v>
      </c>
      <c r="I18" s="14">
        <v>0</v>
      </c>
      <c r="J18" s="14">
        <v>4</v>
      </c>
      <c r="K18" s="14" t="s">
        <v>9</v>
      </c>
      <c r="L18" s="14" t="s">
        <v>9</v>
      </c>
      <c r="M18" s="14">
        <v>0</v>
      </c>
      <c r="N18" s="14">
        <v>11</v>
      </c>
      <c r="O18" s="14">
        <v>2</v>
      </c>
      <c r="P18" s="14">
        <v>0</v>
      </c>
      <c r="Q18" s="14">
        <v>15</v>
      </c>
      <c r="R18" s="14" t="s">
        <v>9</v>
      </c>
      <c r="S18" s="14" t="s">
        <v>9</v>
      </c>
      <c r="T18" s="14">
        <v>2</v>
      </c>
      <c r="U18" s="14">
        <v>9</v>
      </c>
      <c r="V18" s="14">
        <v>10</v>
      </c>
      <c r="W18" s="14">
        <v>15</v>
      </c>
      <c r="X18" s="14">
        <v>0</v>
      </c>
      <c r="Y18" s="14" t="s">
        <v>9</v>
      </c>
      <c r="Z18" s="14" t="s">
        <v>9</v>
      </c>
      <c r="AA18" s="14">
        <v>17</v>
      </c>
      <c r="AB18" s="14">
        <v>19</v>
      </c>
      <c r="AC18" s="14">
        <v>8</v>
      </c>
      <c r="AD18" s="14">
        <v>0</v>
      </c>
      <c r="AE18" s="14">
        <v>3</v>
      </c>
      <c r="AF18" s="38">
        <f>SUM(D18:AE18)</f>
        <v>162</v>
      </c>
      <c r="AG18" s="122">
        <f>SUM(AF18:AF23)</f>
        <v>832</v>
      </c>
    </row>
    <row r="19" spans="1:33" x14ac:dyDescent="0.25">
      <c r="A19" s="88"/>
      <c r="B19" s="125"/>
      <c r="C19" s="32" t="s">
        <v>50</v>
      </c>
      <c r="D19" s="14" t="s">
        <v>9</v>
      </c>
      <c r="E19" s="14" t="s">
        <v>9</v>
      </c>
      <c r="F19" s="14">
        <v>12</v>
      </c>
      <c r="G19" s="14">
        <v>13</v>
      </c>
      <c r="H19" s="14">
        <v>12</v>
      </c>
      <c r="I19" s="14">
        <v>24</v>
      </c>
      <c r="J19" s="14">
        <v>11</v>
      </c>
      <c r="K19" s="14" t="s">
        <v>9</v>
      </c>
      <c r="L19" s="14" t="s">
        <v>9</v>
      </c>
      <c r="M19" s="14">
        <v>3</v>
      </c>
      <c r="N19" s="14">
        <v>5</v>
      </c>
      <c r="O19" s="14">
        <v>15</v>
      </c>
      <c r="P19" s="14">
        <v>17</v>
      </c>
      <c r="Q19" s="14">
        <v>9</v>
      </c>
      <c r="R19" s="14" t="s">
        <v>9</v>
      </c>
      <c r="S19" s="14" t="s">
        <v>9</v>
      </c>
      <c r="T19" s="14">
        <v>4</v>
      </c>
      <c r="U19" s="14">
        <v>0</v>
      </c>
      <c r="V19" s="14">
        <v>0</v>
      </c>
      <c r="W19" s="14">
        <v>1</v>
      </c>
      <c r="X19" s="14">
        <v>3</v>
      </c>
      <c r="Y19" s="14" t="s">
        <v>9</v>
      </c>
      <c r="Z19" s="14" t="s">
        <v>9</v>
      </c>
      <c r="AA19" s="14">
        <v>4</v>
      </c>
      <c r="AB19" s="14">
        <v>4</v>
      </c>
      <c r="AC19" s="14">
        <v>9</v>
      </c>
      <c r="AD19" s="14">
        <v>10</v>
      </c>
      <c r="AE19" s="14">
        <v>6</v>
      </c>
      <c r="AF19" s="28">
        <f t="shared" ref="AF19:AF21" si="5">SUM(D19:AE19)</f>
        <v>162</v>
      </c>
      <c r="AG19" s="122"/>
    </row>
    <row r="20" spans="1:33" x14ac:dyDescent="0.25">
      <c r="A20" s="88"/>
      <c r="B20" s="125"/>
      <c r="C20" s="32" t="s">
        <v>49</v>
      </c>
      <c r="D20" s="14" t="s">
        <v>9</v>
      </c>
      <c r="E20" s="14" t="s">
        <v>9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9</v>
      </c>
      <c r="L20" s="14" t="s">
        <v>9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 t="s">
        <v>9</v>
      </c>
      <c r="S20" s="14" t="s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 t="s">
        <v>9</v>
      </c>
      <c r="Z20" s="14" t="s">
        <v>9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28">
        <f t="shared" si="5"/>
        <v>0</v>
      </c>
      <c r="AG20" s="122"/>
    </row>
    <row r="21" spans="1:33" x14ac:dyDescent="0.25">
      <c r="A21" s="88"/>
      <c r="B21" s="126"/>
      <c r="C21" s="32" t="s">
        <v>51</v>
      </c>
      <c r="D21" s="14" t="s">
        <v>9</v>
      </c>
      <c r="E21" s="14" t="s">
        <v>9</v>
      </c>
      <c r="F21" s="14">
        <v>0</v>
      </c>
      <c r="G21" s="14">
        <v>0</v>
      </c>
      <c r="H21" s="14">
        <v>1</v>
      </c>
      <c r="I21" s="14">
        <v>5</v>
      </c>
      <c r="J21" s="14">
        <v>2</v>
      </c>
      <c r="K21" s="14" t="s">
        <v>9</v>
      </c>
      <c r="L21" s="14" t="s">
        <v>9</v>
      </c>
      <c r="M21" s="14">
        <v>2</v>
      </c>
      <c r="N21" s="14">
        <v>0</v>
      </c>
      <c r="O21" s="14">
        <v>0</v>
      </c>
      <c r="P21" s="14">
        <v>1</v>
      </c>
      <c r="Q21" s="14">
        <v>4</v>
      </c>
      <c r="R21" s="14" t="s">
        <v>9</v>
      </c>
      <c r="S21" s="14" t="s">
        <v>9</v>
      </c>
      <c r="T21" s="14">
        <v>1</v>
      </c>
      <c r="U21" s="14">
        <v>1</v>
      </c>
      <c r="V21" s="14">
        <v>3</v>
      </c>
      <c r="W21" s="14">
        <v>2</v>
      </c>
      <c r="X21" s="14">
        <v>0</v>
      </c>
      <c r="Y21" s="14" t="s">
        <v>9</v>
      </c>
      <c r="Z21" s="14" t="s">
        <v>9</v>
      </c>
      <c r="AA21" s="14">
        <v>0</v>
      </c>
      <c r="AB21" s="14">
        <v>0</v>
      </c>
      <c r="AC21" s="14">
        <v>1</v>
      </c>
      <c r="AD21" s="14">
        <v>6</v>
      </c>
      <c r="AE21" s="14">
        <v>2</v>
      </c>
      <c r="AF21" s="28">
        <f t="shared" si="5"/>
        <v>31</v>
      </c>
      <c r="AG21" s="122"/>
    </row>
    <row r="22" spans="1:33" x14ac:dyDescent="0.25">
      <c r="A22" s="88"/>
      <c r="B22" s="127" t="s">
        <v>45</v>
      </c>
      <c r="C22" s="30" t="s">
        <v>46</v>
      </c>
      <c r="D22" s="3" t="s">
        <v>9</v>
      </c>
      <c r="E22" s="3" t="s">
        <v>9</v>
      </c>
      <c r="F22" s="3">
        <v>4</v>
      </c>
      <c r="G22" s="3">
        <v>9</v>
      </c>
      <c r="H22" s="3">
        <v>4</v>
      </c>
      <c r="I22" s="3">
        <v>5</v>
      </c>
      <c r="J22" s="3">
        <v>2</v>
      </c>
      <c r="K22" s="3" t="s">
        <v>9</v>
      </c>
      <c r="L22" s="3" t="s">
        <v>9</v>
      </c>
      <c r="M22" s="3">
        <v>17</v>
      </c>
      <c r="N22" s="3">
        <v>5</v>
      </c>
      <c r="O22" s="3">
        <v>4</v>
      </c>
      <c r="P22" s="3">
        <v>21</v>
      </c>
      <c r="Q22" s="3">
        <v>32</v>
      </c>
      <c r="R22" s="3" t="s">
        <v>9</v>
      </c>
      <c r="S22" s="3" t="s">
        <v>9</v>
      </c>
      <c r="T22" s="3">
        <v>30</v>
      </c>
      <c r="U22" s="3">
        <v>50</v>
      </c>
      <c r="V22" s="3">
        <v>48</v>
      </c>
      <c r="W22" s="3">
        <v>69</v>
      </c>
      <c r="X22" s="3">
        <v>84</v>
      </c>
      <c r="Y22" s="3">
        <v>35</v>
      </c>
      <c r="Z22" s="3" t="s">
        <v>9</v>
      </c>
      <c r="AA22" s="3">
        <v>17</v>
      </c>
      <c r="AB22" s="3">
        <v>27</v>
      </c>
      <c r="AC22" s="3">
        <v>5</v>
      </c>
      <c r="AD22" s="3">
        <v>6</v>
      </c>
      <c r="AE22" s="3">
        <v>3</v>
      </c>
      <c r="AF22" s="28">
        <f>SUM(D22:AE22)</f>
        <v>477</v>
      </c>
      <c r="AG22" s="86"/>
    </row>
    <row r="23" spans="1:33" ht="13.5" thickBot="1" x14ac:dyDescent="0.3">
      <c r="A23" s="88"/>
      <c r="B23" s="128"/>
      <c r="C23" s="31" t="s">
        <v>47</v>
      </c>
      <c r="D23" s="8" t="s">
        <v>9</v>
      </c>
      <c r="E23" s="8" t="s">
        <v>9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 t="s">
        <v>9</v>
      </c>
      <c r="L23" s="8" t="s">
        <v>9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 t="s">
        <v>9</v>
      </c>
      <c r="S23" s="8" t="s">
        <v>9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 t="s">
        <v>9</v>
      </c>
      <c r="Z23" s="8" t="s">
        <v>9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26">
        <f>SUM(D23:AE23)</f>
        <v>0</v>
      </c>
      <c r="AG23" s="87"/>
    </row>
    <row r="24" spans="1:33" x14ac:dyDescent="0.25">
      <c r="A24" s="106" t="s">
        <v>35</v>
      </c>
      <c r="B24" s="124" t="s">
        <v>18</v>
      </c>
      <c r="C24" s="29" t="s">
        <v>48</v>
      </c>
      <c r="D24" s="7" t="s">
        <v>9</v>
      </c>
      <c r="E24" s="7" t="s">
        <v>9</v>
      </c>
      <c r="F24" s="7">
        <v>13</v>
      </c>
      <c r="G24" s="7">
        <v>25</v>
      </c>
      <c r="H24" s="7">
        <v>15</v>
      </c>
      <c r="I24" s="7">
        <v>0</v>
      </c>
      <c r="J24" s="7">
        <v>7</v>
      </c>
      <c r="K24" s="7" t="s">
        <v>9</v>
      </c>
      <c r="L24" s="7" t="s">
        <v>9</v>
      </c>
      <c r="M24" s="7">
        <v>1</v>
      </c>
      <c r="N24" s="7">
        <v>12</v>
      </c>
      <c r="O24" s="7">
        <v>4</v>
      </c>
      <c r="P24" s="20">
        <v>1</v>
      </c>
      <c r="Q24" s="7">
        <v>20</v>
      </c>
      <c r="R24" s="7" t="s">
        <v>9</v>
      </c>
      <c r="S24" s="7" t="s">
        <v>9</v>
      </c>
      <c r="T24" s="7">
        <v>1</v>
      </c>
      <c r="U24" s="7">
        <v>9</v>
      </c>
      <c r="V24" s="7">
        <v>6</v>
      </c>
      <c r="W24" s="7">
        <v>9</v>
      </c>
      <c r="X24" s="7">
        <v>9</v>
      </c>
      <c r="Y24" s="7" t="s">
        <v>9</v>
      </c>
      <c r="Z24" s="7" t="s">
        <v>9</v>
      </c>
      <c r="AA24" s="7">
        <v>8</v>
      </c>
      <c r="AB24" s="7">
        <v>26</v>
      </c>
      <c r="AC24" s="7">
        <v>32</v>
      </c>
      <c r="AD24" s="7">
        <v>0</v>
      </c>
      <c r="AE24" s="7">
        <v>3</v>
      </c>
      <c r="AF24" s="27">
        <f>SUM(D24:AE24)</f>
        <v>201</v>
      </c>
      <c r="AG24" s="85">
        <f>SUM(AF24:AF29)</f>
        <v>873</v>
      </c>
    </row>
    <row r="25" spans="1:33" x14ac:dyDescent="0.25">
      <c r="A25" s="123"/>
      <c r="B25" s="125"/>
      <c r="C25" s="32" t="s">
        <v>50</v>
      </c>
      <c r="D25" s="14" t="s">
        <v>9</v>
      </c>
      <c r="E25" s="14" t="s">
        <v>9</v>
      </c>
      <c r="F25" s="14">
        <v>8</v>
      </c>
      <c r="G25" s="14">
        <v>2</v>
      </c>
      <c r="H25" s="14">
        <v>3</v>
      </c>
      <c r="I25" s="14">
        <v>9</v>
      </c>
      <c r="J25" s="14">
        <v>10</v>
      </c>
      <c r="K25" s="14" t="s">
        <v>9</v>
      </c>
      <c r="L25" s="14" t="s">
        <v>9</v>
      </c>
      <c r="M25" s="14">
        <v>7</v>
      </c>
      <c r="N25" s="14">
        <v>9</v>
      </c>
      <c r="O25" s="14">
        <v>3</v>
      </c>
      <c r="P25" s="22">
        <v>1</v>
      </c>
      <c r="Q25" s="14">
        <v>17</v>
      </c>
      <c r="R25" s="14" t="s">
        <v>9</v>
      </c>
      <c r="S25" s="14" t="s">
        <v>9</v>
      </c>
      <c r="T25" s="14">
        <v>20</v>
      </c>
      <c r="U25" s="14">
        <v>5</v>
      </c>
      <c r="V25" s="14">
        <v>9</v>
      </c>
      <c r="W25" s="14">
        <v>7</v>
      </c>
      <c r="X25" s="14">
        <v>9</v>
      </c>
      <c r="Y25" s="14" t="s">
        <v>9</v>
      </c>
      <c r="Z25" s="14" t="s">
        <v>9</v>
      </c>
      <c r="AA25" s="14">
        <v>12</v>
      </c>
      <c r="AB25" s="14">
        <v>14</v>
      </c>
      <c r="AC25" s="14">
        <v>12</v>
      </c>
      <c r="AD25" s="14">
        <v>14</v>
      </c>
      <c r="AE25" s="14">
        <v>7</v>
      </c>
      <c r="AF25" s="28">
        <f t="shared" ref="AF25:AF27" si="6">SUM(D25:AE25)</f>
        <v>178</v>
      </c>
      <c r="AG25" s="122"/>
    </row>
    <row r="26" spans="1:33" x14ac:dyDescent="0.25">
      <c r="A26" s="123"/>
      <c r="B26" s="125"/>
      <c r="C26" s="32" t="s">
        <v>49</v>
      </c>
      <c r="D26" s="14" t="s">
        <v>9</v>
      </c>
      <c r="E26" s="14" t="s">
        <v>9</v>
      </c>
      <c r="F26" s="14">
        <v>0</v>
      </c>
      <c r="G26" s="14">
        <v>0</v>
      </c>
      <c r="H26" s="14">
        <v>1</v>
      </c>
      <c r="I26" s="14">
        <v>0</v>
      </c>
      <c r="J26" s="14">
        <v>0</v>
      </c>
      <c r="K26" s="14" t="s">
        <v>9</v>
      </c>
      <c r="L26" s="14" t="s">
        <v>9</v>
      </c>
      <c r="M26" s="14">
        <v>0</v>
      </c>
      <c r="N26" s="14">
        <v>0</v>
      </c>
      <c r="O26" s="14">
        <v>0</v>
      </c>
      <c r="P26" s="22">
        <v>0</v>
      </c>
      <c r="Q26" s="14">
        <v>0</v>
      </c>
      <c r="R26" s="14" t="s">
        <v>9</v>
      </c>
      <c r="S26" s="14" t="s">
        <v>9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 t="s">
        <v>9</v>
      </c>
      <c r="Z26" s="14" t="s">
        <v>9</v>
      </c>
      <c r="AA26" s="14">
        <v>0</v>
      </c>
      <c r="AB26" s="14">
        <v>0</v>
      </c>
      <c r="AC26" s="14">
        <v>0</v>
      </c>
      <c r="AD26" s="14">
        <v>0</v>
      </c>
      <c r="AE26" s="14">
        <v>1</v>
      </c>
      <c r="AF26" s="28">
        <f t="shared" si="6"/>
        <v>2</v>
      </c>
      <c r="AG26" s="122"/>
    </row>
    <row r="27" spans="1:33" x14ac:dyDescent="0.25">
      <c r="A27" s="123"/>
      <c r="B27" s="126"/>
      <c r="C27" s="32" t="s">
        <v>51</v>
      </c>
      <c r="D27" s="14" t="s">
        <v>9</v>
      </c>
      <c r="E27" s="14" t="s">
        <v>9</v>
      </c>
      <c r="F27" s="14">
        <v>0</v>
      </c>
      <c r="G27" s="14">
        <v>0</v>
      </c>
      <c r="H27" s="14">
        <v>0</v>
      </c>
      <c r="I27" s="14">
        <v>2</v>
      </c>
      <c r="J27" s="14">
        <v>5</v>
      </c>
      <c r="K27" s="14" t="s">
        <v>9</v>
      </c>
      <c r="L27" s="14" t="s">
        <v>9</v>
      </c>
      <c r="M27" s="14">
        <v>0</v>
      </c>
      <c r="N27" s="14">
        <v>5</v>
      </c>
      <c r="O27" s="14">
        <v>2</v>
      </c>
      <c r="P27" s="22">
        <v>1</v>
      </c>
      <c r="Q27" s="14">
        <v>4</v>
      </c>
      <c r="R27" s="14" t="s">
        <v>9</v>
      </c>
      <c r="S27" s="14" t="s">
        <v>9</v>
      </c>
      <c r="T27" s="14">
        <v>4</v>
      </c>
      <c r="U27" s="14">
        <v>1</v>
      </c>
      <c r="V27" s="14">
        <v>1</v>
      </c>
      <c r="W27" s="14">
        <v>0</v>
      </c>
      <c r="X27" s="14">
        <v>2</v>
      </c>
      <c r="Y27" s="14" t="s">
        <v>9</v>
      </c>
      <c r="Z27" s="14" t="s">
        <v>9</v>
      </c>
      <c r="AA27" s="14">
        <v>2</v>
      </c>
      <c r="AB27" s="14">
        <v>0</v>
      </c>
      <c r="AC27" s="14">
        <v>0</v>
      </c>
      <c r="AD27" s="14">
        <v>4</v>
      </c>
      <c r="AE27" s="14">
        <v>0</v>
      </c>
      <c r="AF27" s="28">
        <f t="shared" si="6"/>
        <v>33</v>
      </c>
      <c r="AG27" s="122"/>
    </row>
    <row r="28" spans="1:33" x14ac:dyDescent="0.25">
      <c r="A28" s="72"/>
      <c r="B28" s="127" t="s">
        <v>45</v>
      </c>
      <c r="C28" s="30" t="s">
        <v>46</v>
      </c>
      <c r="D28" s="3" t="s">
        <v>9</v>
      </c>
      <c r="E28" s="3" t="s">
        <v>9</v>
      </c>
      <c r="F28" s="3">
        <v>5</v>
      </c>
      <c r="G28" s="3">
        <v>11</v>
      </c>
      <c r="H28" s="3">
        <v>4</v>
      </c>
      <c r="I28" s="3">
        <v>0</v>
      </c>
      <c r="J28" s="3">
        <v>7</v>
      </c>
      <c r="K28" s="3" t="s">
        <v>9</v>
      </c>
      <c r="L28" s="3" t="s">
        <v>9</v>
      </c>
      <c r="M28" s="3">
        <v>20</v>
      </c>
      <c r="N28" s="3">
        <v>24</v>
      </c>
      <c r="O28" s="3">
        <v>61</v>
      </c>
      <c r="P28" s="17">
        <v>31</v>
      </c>
      <c r="Q28" s="3">
        <v>54</v>
      </c>
      <c r="R28" s="3" t="s">
        <v>9</v>
      </c>
      <c r="S28" s="3" t="s">
        <v>9</v>
      </c>
      <c r="T28" s="3">
        <v>4</v>
      </c>
      <c r="U28" s="3">
        <v>30</v>
      </c>
      <c r="V28" s="3">
        <v>45</v>
      </c>
      <c r="W28" s="3">
        <v>45</v>
      </c>
      <c r="X28" s="3">
        <v>32</v>
      </c>
      <c r="Y28" s="3" t="s">
        <v>9</v>
      </c>
      <c r="Z28" s="3" t="s">
        <v>9</v>
      </c>
      <c r="AA28" s="3">
        <v>15</v>
      </c>
      <c r="AB28" s="3">
        <v>21</v>
      </c>
      <c r="AC28" s="3">
        <v>17</v>
      </c>
      <c r="AD28" s="3">
        <v>10</v>
      </c>
      <c r="AE28" s="3">
        <v>21</v>
      </c>
      <c r="AF28" s="28">
        <f>SUM(D28:AE28)</f>
        <v>457</v>
      </c>
      <c r="AG28" s="86"/>
    </row>
    <row r="29" spans="1:33" ht="13.5" thickBot="1" x14ac:dyDescent="0.3">
      <c r="A29" s="107"/>
      <c r="B29" s="128"/>
      <c r="C29" s="31" t="s">
        <v>47</v>
      </c>
      <c r="D29" s="8" t="s">
        <v>9</v>
      </c>
      <c r="E29" s="8" t="s">
        <v>9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 t="s">
        <v>9</v>
      </c>
      <c r="L29" s="8" t="s">
        <v>9</v>
      </c>
      <c r="M29" s="8">
        <v>0</v>
      </c>
      <c r="N29" s="8">
        <v>0</v>
      </c>
      <c r="O29" s="8">
        <v>0</v>
      </c>
      <c r="P29" s="21">
        <v>0</v>
      </c>
      <c r="Q29" s="8">
        <v>0</v>
      </c>
      <c r="R29" s="8" t="s">
        <v>9</v>
      </c>
      <c r="S29" s="8" t="s">
        <v>9</v>
      </c>
      <c r="T29" s="8">
        <v>0</v>
      </c>
      <c r="U29" s="8">
        <v>1</v>
      </c>
      <c r="V29" s="8">
        <v>0</v>
      </c>
      <c r="W29" s="8">
        <v>0</v>
      </c>
      <c r="X29" s="8">
        <v>0</v>
      </c>
      <c r="Y29" s="8" t="s">
        <v>9</v>
      </c>
      <c r="Z29" s="8" t="s">
        <v>9</v>
      </c>
      <c r="AA29" s="8">
        <v>0</v>
      </c>
      <c r="AB29" s="8">
        <v>1</v>
      </c>
      <c r="AC29" s="8">
        <v>0</v>
      </c>
      <c r="AD29" s="8">
        <v>0</v>
      </c>
      <c r="AE29" s="8">
        <v>0</v>
      </c>
      <c r="AF29" s="26">
        <f>SUM(D29:AE29)</f>
        <v>2</v>
      </c>
      <c r="AG29" s="87"/>
    </row>
    <row r="30" spans="1:33" x14ac:dyDescent="0.25">
      <c r="A30" s="89" t="s">
        <v>32</v>
      </c>
      <c r="B30" s="124" t="s">
        <v>18</v>
      </c>
      <c r="C30" s="29" t="s">
        <v>48</v>
      </c>
      <c r="D30" s="7">
        <v>30</v>
      </c>
      <c r="E30" s="7" t="s">
        <v>9</v>
      </c>
      <c r="F30" s="7">
        <v>17</v>
      </c>
      <c r="G30" s="7">
        <v>6</v>
      </c>
      <c r="H30" s="7">
        <v>4</v>
      </c>
      <c r="I30" s="7">
        <v>15</v>
      </c>
      <c r="J30" s="7">
        <v>6</v>
      </c>
      <c r="K30" s="7" t="s">
        <v>9</v>
      </c>
      <c r="L30" s="7" t="s">
        <v>9</v>
      </c>
      <c r="M30" s="7">
        <v>3</v>
      </c>
      <c r="N30" s="7">
        <v>1</v>
      </c>
      <c r="O30" s="7">
        <v>6</v>
      </c>
      <c r="P30" s="7">
        <v>0</v>
      </c>
      <c r="Q30" s="7">
        <v>0</v>
      </c>
      <c r="R30" s="20">
        <v>0</v>
      </c>
      <c r="S30" s="7" t="s">
        <v>9</v>
      </c>
      <c r="T30" s="7" t="s">
        <v>30</v>
      </c>
      <c r="U30" s="7">
        <v>2</v>
      </c>
      <c r="V30" s="7">
        <v>4</v>
      </c>
      <c r="W30" s="20">
        <v>10</v>
      </c>
      <c r="X30" s="7">
        <v>9</v>
      </c>
      <c r="Y30" s="7" t="s">
        <v>9</v>
      </c>
      <c r="Z30" s="7" t="s">
        <v>9</v>
      </c>
      <c r="AA30" s="7">
        <v>14</v>
      </c>
      <c r="AB30" s="7">
        <v>17</v>
      </c>
      <c r="AC30" s="7">
        <v>5</v>
      </c>
      <c r="AD30" s="7">
        <v>2</v>
      </c>
      <c r="AE30" s="7">
        <v>13</v>
      </c>
      <c r="AF30" s="27">
        <f>SUM(D30:AE30)</f>
        <v>164</v>
      </c>
      <c r="AG30" s="85">
        <f>SUM(AF30:AF35)</f>
        <v>687</v>
      </c>
    </row>
    <row r="31" spans="1:33" x14ac:dyDescent="0.25">
      <c r="A31" s="121"/>
      <c r="B31" s="125"/>
      <c r="C31" s="32" t="s">
        <v>50</v>
      </c>
      <c r="D31" s="14">
        <v>7</v>
      </c>
      <c r="E31" s="14" t="s">
        <v>9</v>
      </c>
      <c r="F31" s="14">
        <v>6</v>
      </c>
      <c r="G31" s="14">
        <v>0</v>
      </c>
      <c r="H31" s="14">
        <v>1</v>
      </c>
      <c r="I31" s="14">
        <v>1</v>
      </c>
      <c r="J31" s="14">
        <v>3</v>
      </c>
      <c r="K31" s="14" t="s">
        <v>9</v>
      </c>
      <c r="L31" s="14" t="s">
        <v>9</v>
      </c>
      <c r="M31" s="14">
        <v>5</v>
      </c>
      <c r="N31" s="14">
        <v>2</v>
      </c>
      <c r="O31" s="14">
        <v>0</v>
      </c>
      <c r="P31" s="14">
        <v>0</v>
      </c>
      <c r="Q31" s="14">
        <v>0</v>
      </c>
      <c r="R31" s="14">
        <v>3</v>
      </c>
      <c r="S31" s="14" t="s">
        <v>9</v>
      </c>
      <c r="T31" s="14" t="s">
        <v>30</v>
      </c>
      <c r="U31" s="14">
        <v>0</v>
      </c>
      <c r="V31" s="14">
        <v>1</v>
      </c>
      <c r="W31" s="14">
        <v>2</v>
      </c>
      <c r="X31" s="14">
        <v>1</v>
      </c>
      <c r="Y31" s="14" t="s">
        <v>9</v>
      </c>
      <c r="Z31" s="14" t="s">
        <v>9</v>
      </c>
      <c r="AA31" s="14">
        <v>13</v>
      </c>
      <c r="AB31" s="14">
        <v>3</v>
      </c>
      <c r="AC31" s="14">
        <v>3</v>
      </c>
      <c r="AD31" s="14">
        <v>2</v>
      </c>
      <c r="AE31" s="14">
        <v>0</v>
      </c>
      <c r="AF31" s="28">
        <f t="shared" ref="AF31:AF33" si="7">SUM(D31:AE31)</f>
        <v>53</v>
      </c>
      <c r="AG31" s="122"/>
    </row>
    <row r="32" spans="1:33" x14ac:dyDescent="0.25">
      <c r="A32" s="121"/>
      <c r="B32" s="125"/>
      <c r="C32" s="32" t="s">
        <v>49</v>
      </c>
      <c r="D32" s="14">
        <v>0</v>
      </c>
      <c r="E32" s="14" t="s">
        <v>9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9</v>
      </c>
      <c r="L32" s="14" t="s">
        <v>9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 t="s">
        <v>9</v>
      </c>
      <c r="T32" s="14" t="s">
        <v>30</v>
      </c>
      <c r="U32" s="14">
        <v>0</v>
      </c>
      <c r="V32" s="14">
        <v>0</v>
      </c>
      <c r="W32" s="14">
        <v>0</v>
      </c>
      <c r="X32" s="14">
        <v>0</v>
      </c>
      <c r="Y32" s="14" t="s">
        <v>9</v>
      </c>
      <c r="Z32" s="14" t="s">
        <v>9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28">
        <f t="shared" si="7"/>
        <v>0</v>
      </c>
      <c r="AG32" s="122"/>
    </row>
    <row r="33" spans="1:33" x14ac:dyDescent="0.25">
      <c r="A33" s="121"/>
      <c r="B33" s="126"/>
      <c r="C33" s="32" t="s">
        <v>51</v>
      </c>
      <c r="D33" s="14">
        <v>0</v>
      </c>
      <c r="E33" s="14" t="s">
        <v>9</v>
      </c>
      <c r="F33" s="14">
        <v>0</v>
      </c>
      <c r="G33" s="14">
        <v>0</v>
      </c>
      <c r="H33" s="14">
        <v>0</v>
      </c>
      <c r="I33" s="14">
        <v>2</v>
      </c>
      <c r="J33" s="14">
        <v>0</v>
      </c>
      <c r="K33" s="14" t="s">
        <v>9</v>
      </c>
      <c r="L33" s="14" t="s">
        <v>9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 t="s">
        <v>9</v>
      </c>
      <c r="T33" s="14" t="s">
        <v>30</v>
      </c>
      <c r="U33" s="14">
        <v>0</v>
      </c>
      <c r="V33" s="14">
        <v>0</v>
      </c>
      <c r="W33" s="14">
        <v>0</v>
      </c>
      <c r="X33" s="14">
        <v>0</v>
      </c>
      <c r="Y33" s="14" t="s">
        <v>9</v>
      </c>
      <c r="Z33" s="14" t="s">
        <v>9</v>
      </c>
      <c r="AA33" s="14">
        <v>1</v>
      </c>
      <c r="AB33" s="14">
        <v>1</v>
      </c>
      <c r="AC33" s="14">
        <v>0</v>
      </c>
      <c r="AD33" s="14">
        <v>0</v>
      </c>
      <c r="AE33" s="14">
        <v>1</v>
      </c>
      <c r="AF33" s="28">
        <f t="shared" si="7"/>
        <v>5</v>
      </c>
      <c r="AG33" s="122"/>
    </row>
    <row r="34" spans="1:33" x14ac:dyDescent="0.25">
      <c r="A34" s="90"/>
      <c r="B34" s="127" t="s">
        <v>45</v>
      </c>
      <c r="C34" s="30" t="s">
        <v>46</v>
      </c>
      <c r="D34" s="3">
        <v>11</v>
      </c>
      <c r="E34" s="3" t="s">
        <v>9</v>
      </c>
      <c r="F34" s="3">
        <v>3</v>
      </c>
      <c r="G34" s="3">
        <v>35</v>
      </c>
      <c r="H34" s="3">
        <v>24</v>
      </c>
      <c r="I34" s="3">
        <v>17</v>
      </c>
      <c r="J34" s="3">
        <v>19</v>
      </c>
      <c r="K34" s="3" t="s">
        <v>9</v>
      </c>
      <c r="L34" s="3" t="s">
        <v>9</v>
      </c>
      <c r="M34" s="3">
        <v>28</v>
      </c>
      <c r="N34" s="3">
        <v>8</v>
      </c>
      <c r="O34" s="3">
        <v>30</v>
      </c>
      <c r="P34" s="3">
        <v>45</v>
      </c>
      <c r="Q34" s="3">
        <v>33</v>
      </c>
      <c r="R34" s="17">
        <v>7</v>
      </c>
      <c r="S34" s="3" t="s">
        <v>9</v>
      </c>
      <c r="T34" s="3" t="s">
        <v>30</v>
      </c>
      <c r="U34" s="3">
        <v>35</v>
      </c>
      <c r="V34" s="3">
        <v>32</v>
      </c>
      <c r="W34" s="17">
        <v>25</v>
      </c>
      <c r="X34" s="3">
        <v>33</v>
      </c>
      <c r="Y34" s="3" t="s">
        <v>9</v>
      </c>
      <c r="Z34" s="3" t="s">
        <v>9</v>
      </c>
      <c r="AA34" s="3">
        <v>31</v>
      </c>
      <c r="AB34" s="3">
        <v>19</v>
      </c>
      <c r="AC34" s="3">
        <v>19</v>
      </c>
      <c r="AD34" s="3">
        <v>1</v>
      </c>
      <c r="AE34" s="3">
        <v>9</v>
      </c>
      <c r="AF34" s="28">
        <f>SUM(D34:AE34)</f>
        <v>464</v>
      </c>
      <c r="AG34" s="86"/>
    </row>
    <row r="35" spans="1:33" ht="16.5" customHeight="1" thickBot="1" x14ac:dyDescent="0.3">
      <c r="A35" s="91"/>
      <c r="B35" s="128"/>
      <c r="C35" s="31" t="s">
        <v>47</v>
      </c>
      <c r="D35" s="8">
        <v>0</v>
      </c>
      <c r="E35" s="8" t="s">
        <v>9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 t="s">
        <v>9</v>
      </c>
      <c r="L35" s="8" t="s">
        <v>9</v>
      </c>
      <c r="M35" s="8">
        <v>1</v>
      </c>
      <c r="N35" s="8">
        <v>0</v>
      </c>
      <c r="O35" s="8">
        <v>0</v>
      </c>
      <c r="P35" s="8">
        <v>0</v>
      </c>
      <c r="Q35" s="8">
        <v>0</v>
      </c>
      <c r="R35" s="21">
        <v>0</v>
      </c>
      <c r="S35" s="8" t="s">
        <v>9</v>
      </c>
      <c r="T35" s="8" t="s">
        <v>30</v>
      </c>
      <c r="U35" s="8">
        <v>0</v>
      </c>
      <c r="V35" s="8">
        <v>0</v>
      </c>
      <c r="W35" s="21">
        <v>0</v>
      </c>
      <c r="X35" s="8">
        <v>0</v>
      </c>
      <c r="Y35" s="8" t="s">
        <v>9</v>
      </c>
      <c r="Z35" s="8" t="s">
        <v>9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26">
        <f>SUM(D35:AE35)</f>
        <v>1</v>
      </c>
      <c r="AG35" s="87"/>
    </row>
    <row r="36" spans="1:33" x14ac:dyDescent="0.25">
      <c r="A36" s="89" t="s">
        <v>36</v>
      </c>
      <c r="B36" s="136" t="s">
        <v>18</v>
      </c>
      <c r="C36" s="29" t="s">
        <v>48</v>
      </c>
      <c r="D36" s="7">
        <v>1</v>
      </c>
      <c r="E36" s="7" t="s">
        <v>9</v>
      </c>
      <c r="F36" s="7">
        <v>5</v>
      </c>
      <c r="G36" s="7">
        <v>4</v>
      </c>
      <c r="H36" s="7">
        <v>8</v>
      </c>
      <c r="I36" s="7">
        <v>7</v>
      </c>
      <c r="J36" s="7">
        <v>4</v>
      </c>
      <c r="K36" s="7" t="s">
        <v>9</v>
      </c>
      <c r="L36" s="7" t="s">
        <v>9</v>
      </c>
      <c r="M36" s="7">
        <v>2</v>
      </c>
      <c r="N36" s="7">
        <v>8</v>
      </c>
      <c r="O36" s="7">
        <v>0</v>
      </c>
      <c r="P36" s="7">
        <v>0</v>
      </c>
      <c r="Q36" s="7">
        <v>0</v>
      </c>
      <c r="R36" s="7">
        <v>0</v>
      </c>
      <c r="S36" s="7" t="s">
        <v>9</v>
      </c>
      <c r="T36" s="7">
        <v>0</v>
      </c>
      <c r="U36" s="7">
        <v>0</v>
      </c>
      <c r="V36" s="7">
        <v>4</v>
      </c>
      <c r="W36" s="7">
        <v>6</v>
      </c>
      <c r="X36" s="7">
        <v>0</v>
      </c>
      <c r="Y36" s="7" t="s">
        <v>9</v>
      </c>
      <c r="Z36" s="7" t="s">
        <v>9</v>
      </c>
      <c r="AA36" s="7">
        <v>1</v>
      </c>
      <c r="AB36" s="7">
        <v>4</v>
      </c>
      <c r="AC36" s="7">
        <v>8</v>
      </c>
      <c r="AD36" s="7" t="s">
        <v>30</v>
      </c>
      <c r="AE36" s="7" t="s">
        <v>30</v>
      </c>
      <c r="AF36" s="27">
        <f>SUM(D36:AE36)</f>
        <v>62</v>
      </c>
      <c r="AG36" s="85">
        <f>SUM(AF36:AF41)</f>
        <v>583</v>
      </c>
    </row>
    <row r="37" spans="1:33" x14ac:dyDescent="0.25">
      <c r="A37" s="121"/>
      <c r="B37" s="137"/>
      <c r="C37" s="32" t="s">
        <v>50</v>
      </c>
      <c r="D37" s="14">
        <v>1</v>
      </c>
      <c r="E37" s="14" t="s">
        <v>9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9</v>
      </c>
      <c r="L37" s="14" t="s">
        <v>9</v>
      </c>
      <c r="M37" s="14">
        <v>0</v>
      </c>
      <c r="N37" s="14">
        <v>0</v>
      </c>
      <c r="O37" s="14">
        <v>0</v>
      </c>
      <c r="P37" s="14">
        <v>1</v>
      </c>
      <c r="Q37" s="14">
        <v>2</v>
      </c>
      <c r="R37" s="14">
        <v>0</v>
      </c>
      <c r="S37" s="14" t="s">
        <v>9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 t="s">
        <v>9</v>
      </c>
      <c r="Z37" s="14" t="s">
        <v>9</v>
      </c>
      <c r="AA37" s="14">
        <v>0</v>
      </c>
      <c r="AB37" s="14">
        <v>0</v>
      </c>
      <c r="AC37" s="14">
        <v>0</v>
      </c>
      <c r="AD37" s="14" t="s">
        <v>30</v>
      </c>
      <c r="AE37" s="14" t="s">
        <v>30</v>
      </c>
      <c r="AF37" s="28">
        <f t="shared" ref="AF37:AF39" si="8">SUM(D37:AE37)</f>
        <v>4</v>
      </c>
      <c r="AG37" s="122"/>
    </row>
    <row r="38" spans="1:33" x14ac:dyDescent="0.25">
      <c r="A38" s="121"/>
      <c r="B38" s="137"/>
      <c r="C38" s="32" t="s">
        <v>49</v>
      </c>
      <c r="D38" s="14">
        <v>14</v>
      </c>
      <c r="E38" s="14" t="s">
        <v>9</v>
      </c>
      <c r="F38" s="14">
        <v>4</v>
      </c>
      <c r="G38" s="14">
        <v>14</v>
      </c>
      <c r="H38" s="14">
        <v>10</v>
      </c>
      <c r="I38" s="14">
        <v>5</v>
      </c>
      <c r="J38" s="14">
        <v>14</v>
      </c>
      <c r="K38" s="14" t="s">
        <v>9</v>
      </c>
      <c r="L38" s="14" t="s">
        <v>9</v>
      </c>
      <c r="M38" s="14">
        <v>12</v>
      </c>
      <c r="N38" s="14">
        <v>6</v>
      </c>
      <c r="O38" s="14">
        <v>12</v>
      </c>
      <c r="P38" s="14">
        <v>2</v>
      </c>
      <c r="Q38" s="14">
        <v>14</v>
      </c>
      <c r="R38" s="14">
        <v>8</v>
      </c>
      <c r="S38" s="14" t="s">
        <v>9</v>
      </c>
      <c r="T38" s="14">
        <v>8</v>
      </c>
      <c r="U38" s="14">
        <v>5</v>
      </c>
      <c r="V38" s="14">
        <v>8</v>
      </c>
      <c r="W38" s="14">
        <v>16</v>
      </c>
      <c r="X38" s="14">
        <v>14</v>
      </c>
      <c r="Y38" s="14" t="s">
        <v>9</v>
      </c>
      <c r="Z38" s="14" t="s">
        <v>9</v>
      </c>
      <c r="AA38" s="14">
        <v>21</v>
      </c>
      <c r="AB38" s="14">
        <v>16</v>
      </c>
      <c r="AC38" s="14">
        <v>14</v>
      </c>
      <c r="AD38" s="14" t="s">
        <v>30</v>
      </c>
      <c r="AE38" s="14" t="s">
        <v>30</v>
      </c>
      <c r="AF38" s="28">
        <f t="shared" si="8"/>
        <v>217</v>
      </c>
      <c r="AG38" s="122"/>
    </row>
    <row r="39" spans="1:33" x14ac:dyDescent="0.25">
      <c r="A39" s="121"/>
      <c r="B39" s="138"/>
      <c r="C39" s="32" t="s">
        <v>51</v>
      </c>
      <c r="D39" s="14">
        <v>4</v>
      </c>
      <c r="E39" s="14" t="s">
        <v>9</v>
      </c>
      <c r="F39" s="14">
        <v>6</v>
      </c>
      <c r="G39" s="14">
        <v>9</v>
      </c>
      <c r="H39" s="14">
        <v>4</v>
      </c>
      <c r="I39" s="14">
        <v>5</v>
      </c>
      <c r="J39" s="14">
        <v>7</v>
      </c>
      <c r="K39" s="14" t="s">
        <v>9</v>
      </c>
      <c r="L39" s="14" t="s">
        <v>9</v>
      </c>
      <c r="M39" s="14">
        <v>9</v>
      </c>
      <c r="N39" s="14">
        <v>4</v>
      </c>
      <c r="O39" s="14">
        <v>2</v>
      </c>
      <c r="P39" s="14">
        <v>7</v>
      </c>
      <c r="Q39" s="14">
        <v>6</v>
      </c>
      <c r="R39" s="14">
        <v>1</v>
      </c>
      <c r="S39" s="14" t="s">
        <v>9</v>
      </c>
      <c r="T39" s="14">
        <v>2</v>
      </c>
      <c r="U39" s="14">
        <v>8</v>
      </c>
      <c r="V39" s="14">
        <v>7</v>
      </c>
      <c r="W39" s="14">
        <v>6</v>
      </c>
      <c r="X39" s="14">
        <v>5</v>
      </c>
      <c r="Y39" s="14" t="s">
        <v>9</v>
      </c>
      <c r="Z39" s="14" t="s">
        <v>9</v>
      </c>
      <c r="AA39" s="14">
        <v>1</v>
      </c>
      <c r="AB39" s="14">
        <v>10</v>
      </c>
      <c r="AC39" s="14">
        <v>8</v>
      </c>
      <c r="AD39" s="14" t="s">
        <v>30</v>
      </c>
      <c r="AE39" s="14" t="s">
        <v>30</v>
      </c>
      <c r="AF39" s="28">
        <f t="shared" si="8"/>
        <v>111</v>
      </c>
      <c r="AG39" s="122"/>
    </row>
    <row r="40" spans="1:33" x14ac:dyDescent="0.25">
      <c r="A40" s="90"/>
      <c r="B40" s="139" t="s">
        <v>45</v>
      </c>
      <c r="C40" s="30" t="s">
        <v>46</v>
      </c>
      <c r="D40" s="3">
        <v>0</v>
      </c>
      <c r="E40" s="3" t="s">
        <v>9</v>
      </c>
      <c r="F40" s="3">
        <v>10</v>
      </c>
      <c r="G40" s="3">
        <v>8</v>
      </c>
      <c r="H40" s="3">
        <v>12</v>
      </c>
      <c r="I40" s="3">
        <v>14</v>
      </c>
      <c r="J40" s="3">
        <v>9</v>
      </c>
      <c r="K40" s="3" t="s">
        <v>9</v>
      </c>
      <c r="L40" s="3" t="s">
        <v>9</v>
      </c>
      <c r="M40" s="3">
        <v>17</v>
      </c>
      <c r="N40" s="3">
        <v>13</v>
      </c>
      <c r="O40" s="3">
        <v>3</v>
      </c>
      <c r="P40" s="3">
        <v>12</v>
      </c>
      <c r="Q40" s="3">
        <v>10</v>
      </c>
      <c r="R40" s="3">
        <v>28</v>
      </c>
      <c r="S40" s="3" t="s">
        <v>9</v>
      </c>
      <c r="T40" s="3">
        <v>2</v>
      </c>
      <c r="U40" s="3">
        <v>5</v>
      </c>
      <c r="V40" s="3">
        <v>10</v>
      </c>
      <c r="W40" s="3">
        <v>13</v>
      </c>
      <c r="X40" s="3">
        <v>6</v>
      </c>
      <c r="Y40" s="3" t="s">
        <v>9</v>
      </c>
      <c r="Z40" s="3" t="s">
        <v>9</v>
      </c>
      <c r="AA40" s="3">
        <v>5</v>
      </c>
      <c r="AB40" s="3">
        <v>2</v>
      </c>
      <c r="AC40" s="3">
        <v>8</v>
      </c>
      <c r="AD40" s="3" t="s">
        <v>30</v>
      </c>
      <c r="AE40" s="3" t="s">
        <v>30</v>
      </c>
      <c r="AF40" s="28">
        <f>SUM(D40:AE40)</f>
        <v>187</v>
      </c>
      <c r="AG40" s="86"/>
    </row>
    <row r="41" spans="1:33" ht="13.5" thickBot="1" x14ac:dyDescent="0.3">
      <c r="A41" s="91"/>
      <c r="B41" s="140"/>
      <c r="C41" s="31" t="s">
        <v>47</v>
      </c>
      <c r="D41" s="8">
        <v>0</v>
      </c>
      <c r="E41" s="8" t="s">
        <v>9</v>
      </c>
      <c r="F41" s="8">
        <v>0</v>
      </c>
      <c r="G41" s="8">
        <v>0</v>
      </c>
      <c r="H41" s="8">
        <v>0</v>
      </c>
      <c r="I41" s="8">
        <v>1</v>
      </c>
      <c r="J41" s="8">
        <v>0</v>
      </c>
      <c r="K41" s="8" t="s">
        <v>9</v>
      </c>
      <c r="L41" s="8" t="s">
        <v>9</v>
      </c>
      <c r="M41" s="8">
        <v>1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 t="s">
        <v>9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 t="s">
        <v>9</v>
      </c>
      <c r="Z41" s="8" t="s">
        <v>9</v>
      </c>
      <c r="AA41" s="8">
        <v>0</v>
      </c>
      <c r="AB41" s="8">
        <v>0</v>
      </c>
      <c r="AC41" s="8">
        <v>0</v>
      </c>
      <c r="AD41" s="8" t="s">
        <v>30</v>
      </c>
      <c r="AE41" s="8" t="s">
        <v>30</v>
      </c>
      <c r="AF41" s="26">
        <f>SUM(D41:AE41)</f>
        <v>2</v>
      </c>
      <c r="AG41" s="87"/>
    </row>
    <row r="42" spans="1:33" x14ac:dyDescent="0.25">
      <c r="A42" s="142" t="s">
        <v>22</v>
      </c>
      <c r="B42" s="124" t="s">
        <v>18</v>
      </c>
      <c r="C42" s="29" t="s">
        <v>48</v>
      </c>
      <c r="D42" s="7" t="s">
        <v>9</v>
      </c>
      <c r="E42" s="7" t="s">
        <v>9</v>
      </c>
      <c r="F42" s="7">
        <v>2</v>
      </c>
      <c r="G42" s="7">
        <v>16</v>
      </c>
      <c r="H42" s="7">
        <v>1</v>
      </c>
      <c r="I42" s="7">
        <v>14</v>
      </c>
      <c r="J42" s="7">
        <v>1</v>
      </c>
      <c r="K42" s="7">
        <v>0</v>
      </c>
      <c r="L42" s="7" t="s">
        <v>9</v>
      </c>
      <c r="M42" s="7">
        <v>2</v>
      </c>
      <c r="N42" s="7">
        <v>0</v>
      </c>
      <c r="O42" s="7">
        <v>7</v>
      </c>
      <c r="P42" s="7">
        <v>0</v>
      </c>
      <c r="Q42" s="7">
        <v>2</v>
      </c>
      <c r="R42" s="7" t="s">
        <v>9</v>
      </c>
      <c r="S42" s="7" t="s">
        <v>9</v>
      </c>
      <c r="T42" s="7">
        <v>0</v>
      </c>
      <c r="U42" s="7">
        <v>5</v>
      </c>
      <c r="V42" s="7">
        <v>3</v>
      </c>
      <c r="W42" s="7">
        <v>1</v>
      </c>
      <c r="X42" s="7">
        <v>0</v>
      </c>
      <c r="Y42" s="7">
        <v>17</v>
      </c>
      <c r="Z42" s="7" t="s">
        <v>9</v>
      </c>
      <c r="AA42" s="7">
        <v>20</v>
      </c>
      <c r="AB42" s="7">
        <v>9</v>
      </c>
      <c r="AC42" s="7">
        <v>5</v>
      </c>
      <c r="AD42" s="7">
        <v>17</v>
      </c>
      <c r="AE42" s="7">
        <v>3</v>
      </c>
      <c r="AF42" s="27">
        <f>SUM(D42:AE42)</f>
        <v>125</v>
      </c>
      <c r="AG42" s="85">
        <f>SUM(AF42:AF47)</f>
        <v>566</v>
      </c>
    </row>
    <row r="43" spans="1:33" x14ac:dyDescent="0.25">
      <c r="A43" s="143"/>
      <c r="B43" s="125"/>
      <c r="C43" s="32" t="s">
        <v>50</v>
      </c>
      <c r="D43" s="14" t="s">
        <v>9</v>
      </c>
      <c r="E43" s="14" t="s">
        <v>9</v>
      </c>
      <c r="F43" s="14">
        <v>14</v>
      </c>
      <c r="G43" s="14">
        <v>1</v>
      </c>
      <c r="H43" s="14">
        <v>3</v>
      </c>
      <c r="I43" s="14">
        <v>6</v>
      </c>
      <c r="J43" s="14">
        <v>8</v>
      </c>
      <c r="K43" s="14">
        <v>13</v>
      </c>
      <c r="L43" s="14" t="s">
        <v>9</v>
      </c>
      <c r="M43" s="14">
        <v>13</v>
      </c>
      <c r="N43" s="14">
        <v>4</v>
      </c>
      <c r="O43" s="14">
        <v>5</v>
      </c>
      <c r="P43" s="14">
        <v>4</v>
      </c>
      <c r="Q43" s="14">
        <v>0</v>
      </c>
      <c r="R43" s="14" t="s">
        <v>9</v>
      </c>
      <c r="S43" s="14" t="s">
        <v>9</v>
      </c>
      <c r="T43" s="14">
        <v>7</v>
      </c>
      <c r="U43" s="14">
        <v>12</v>
      </c>
      <c r="V43" s="14">
        <v>6</v>
      </c>
      <c r="W43" s="14">
        <v>9</v>
      </c>
      <c r="X43" s="14">
        <v>10</v>
      </c>
      <c r="Y43" s="14">
        <v>9</v>
      </c>
      <c r="Z43" s="14" t="s">
        <v>9</v>
      </c>
      <c r="AA43" s="14">
        <v>7</v>
      </c>
      <c r="AB43" s="14">
        <v>11</v>
      </c>
      <c r="AC43" s="14">
        <v>1</v>
      </c>
      <c r="AD43" s="14">
        <v>4</v>
      </c>
      <c r="AE43" s="14">
        <v>0</v>
      </c>
      <c r="AF43" s="28">
        <f t="shared" ref="AF43:AF45" si="9">SUM(D43:AE43)</f>
        <v>147</v>
      </c>
      <c r="AG43" s="122"/>
    </row>
    <row r="44" spans="1:33" x14ac:dyDescent="0.25">
      <c r="A44" s="143"/>
      <c r="B44" s="125"/>
      <c r="C44" s="32" t="s">
        <v>49</v>
      </c>
      <c r="D44" s="14" t="s">
        <v>9</v>
      </c>
      <c r="E44" s="14" t="s">
        <v>9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 t="s">
        <v>9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 t="s">
        <v>9</v>
      </c>
      <c r="S44" s="14" t="s">
        <v>9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 t="s">
        <v>9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28">
        <f t="shared" si="9"/>
        <v>0</v>
      </c>
      <c r="AG44" s="122"/>
    </row>
    <row r="45" spans="1:33" x14ac:dyDescent="0.25">
      <c r="A45" s="143"/>
      <c r="B45" s="126"/>
      <c r="C45" s="32" t="s">
        <v>51</v>
      </c>
      <c r="D45" s="14" t="s">
        <v>9</v>
      </c>
      <c r="E45" s="14" t="s">
        <v>9</v>
      </c>
      <c r="F45" s="14">
        <v>3</v>
      </c>
      <c r="G45" s="14">
        <v>0</v>
      </c>
      <c r="H45" s="14">
        <v>0</v>
      </c>
      <c r="I45" s="14">
        <v>1</v>
      </c>
      <c r="J45" s="14">
        <v>0</v>
      </c>
      <c r="K45" s="14">
        <v>2</v>
      </c>
      <c r="L45" s="14" t="s">
        <v>9</v>
      </c>
      <c r="M45" s="14">
        <v>1</v>
      </c>
      <c r="N45" s="14">
        <v>3</v>
      </c>
      <c r="O45" s="14">
        <v>0</v>
      </c>
      <c r="P45" s="14">
        <v>0</v>
      </c>
      <c r="Q45" s="14">
        <v>2</v>
      </c>
      <c r="R45" s="14" t="s">
        <v>9</v>
      </c>
      <c r="S45" s="14" t="s">
        <v>9</v>
      </c>
      <c r="T45" s="14">
        <v>3</v>
      </c>
      <c r="U45" s="14">
        <v>0</v>
      </c>
      <c r="V45" s="14">
        <v>1</v>
      </c>
      <c r="W45" s="14">
        <v>0</v>
      </c>
      <c r="X45" s="14">
        <v>0</v>
      </c>
      <c r="Y45" s="14">
        <v>1</v>
      </c>
      <c r="Z45" s="14" t="s">
        <v>9</v>
      </c>
      <c r="AA45" s="14">
        <v>2</v>
      </c>
      <c r="AB45" s="14">
        <v>3</v>
      </c>
      <c r="AC45" s="14">
        <v>3</v>
      </c>
      <c r="AD45" s="14">
        <v>0</v>
      </c>
      <c r="AE45" s="14">
        <v>2</v>
      </c>
      <c r="AF45" s="28">
        <f t="shared" si="9"/>
        <v>27</v>
      </c>
      <c r="AG45" s="122"/>
    </row>
    <row r="46" spans="1:33" x14ac:dyDescent="0.25">
      <c r="A46" s="143"/>
      <c r="B46" s="127" t="s">
        <v>45</v>
      </c>
      <c r="C46" s="30" t="s">
        <v>46</v>
      </c>
      <c r="D46" s="3" t="s">
        <v>9</v>
      </c>
      <c r="E46" s="3" t="s">
        <v>9</v>
      </c>
      <c r="F46" s="3">
        <v>6</v>
      </c>
      <c r="G46" s="3">
        <v>12</v>
      </c>
      <c r="H46" s="3">
        <v>6</v>
      </c>
      <c r="I46" s="3">
        <v>4</v>
      </c>
      <c r="J46" s="3">
        <v>7</v>
      </c>
      <c r="K46" s="3">
        <v>6</v>
      </c>
      <c r="L46" s="3" t="s">
        <v>9</v>
      </c>
      <c r="M46" s="3">
        <v>5</v>
      </c>
      <c r="N46" s="3">
        <v>5</v>
      </c>
      <c r="O46" s="3">
        <v>9</v>
      </c>
      <c r="P46" s="3">
        <v>2</v>
      </c>
      <c r="Q46" s="3">
        <f>8+13</f>
        <v>21</v>
      </c>
      <c r="R46" s="3" t="s">
        <v>9</v>
      </c>
      <c r="S46" s="3" t="s">
        <v>9</v>
      </c>
      <c r="T46" s="3">
        <v>19</v>
      </c>
      <c r="U46" s="3">
        <v>20</v>
      </c>
      <c r="V46" s="3">
        <v>22</v>
      </c>
      <c r="W46" s="3">
        <v>15</v>
      </c>
      <c r="X46" s="3">
        <v>29</v>
      </c>
      <c r="Y46" s="3">
        <v>16</v>
      </c>
      <c r="Z46" s="3" t="s">
        <v>9</v>
      </c>
      <c r="AA46" s="3">
        <v>14</v>
      </c>
      <c r="AB46" s="3">
        <v>15</v>
      </c>
      <c r="AC46" s="3">
        <v>9</v>
      </c>
      <c r="AD46" s="3">
        <v>4</v>
      </c>
      <c r="AE46" s="3">
        <v>6</v>
      </c>
      <c r="AF46" s="28">
        <f>SUM(D46:AE46)</f>
        <v>252</v>
      </c>
      <c r="AG46" s="86"/>
    </row>
    <row r="47" spans="1:33" ht="13.5" thickBot="1" x14ac:dyDescent="0.3">
      <c r="A47" s="144"/>
      <c r="B47" s="128"/>
      <c r="C47" s="31" t="s">
        <v>47</v>
      </c>
      <c r="D47" s="8" t="s">
        <v>9</v>
      </c>
      <c r="E47" s="8" t="s">
        <v>9</v>
      </c>
      <c r="F47" s="8">
        <v>0</v>
      </c>
      <c r="G47" s="8">
        <v>0</v>
      </c>
      <c r="H47" s="8">
        <v>0</v>
      </c>
      <c r="I47" s="8">
        <v>2</v>
      </c>
      <c r="J47" s="8">
        <v>0</v>
      </c>
      <c r="K47" s="8">
        <v>1</v>
      </c>
      <c r="L47" s="8" t="s">
        <v>9</v>
      </c>
      <c r="M47" s="8">
        <v>0</v>
      </c>
      <c r="N47" s="8">
        <v>0</v>
      </c>
      <c r="O47" s="8">
        <v>0</v>
      </c>
      <c r="P47" s="8">
        <v>0</v>
      </c>
      <c r="Q47" s="8">
        <v>5</v>
      </c>
      <c r="R47" s="8" t="s">
        <v>9</v>
      </c>
      <c r="S47" s="8" t="s">
        <v>9</v>
      </c>
      <c r="T47" s="8">
        <v>0</v>
      </c>
      <c r="U47" s="8">
        <v>0</v>
      </c>
      <c r="V47" s="8">
        <v>0</v>
      </c>
      <c r="W47" s="8">
        <v>1</v>
      </c>
      <c r="X47" s="8">
        <v>0</v>
      </c>
      <c r="Y47" s="8">
        <v>0</v>
      </c>
      <c r="Z47" s="8" t="s">
        <v>9</v>
      </c>
      <c r="AA47" s="8">
        <v>3</v>
      </c>
      <c r="AB47" s="8">
        <v>1</v>
      </c>
      <c r="AC47" s="8">
        <v>0</v>
      </c>
      <c r="AD47" s="8">
        <v>0</v>
      </c>
      <c r="AE47" s="8">
        <v>2</v>
      </c>
      <c r="AF47" s="26">
        <f>SUM(D47:AE47)</f>
        <v>15</v>
      </c>
      <c r="AG47" s="87"/>
    </row>
    <row r="48" spans="1:33" x14ac:dyDescent="0.25">
      <c r="A48" s="89" t="s">
        <v>23</v>
      </c>
      <c r="B48" s="124" t="s">
        <v>18</v>
      </c>
      <c r="C48" s="29" t="s">
        <v>48</v>
      </c>
      <c r="D48" s="7" t="s">
        <v>9</v>
      </c>
      <c r="E48" s="7" t="s">
        <v>9</v>
      </c>
      <c r="F48" s="7">
        <v>6</v>
      </c>
      <c r="G48" s="7">
        <v>5</v>
      </c>
      <c r="H48" s="7">
        <v>11</v>
      </c>
      <c r="I48" s="7">
        <v>1</v>
      </c>
      <c r="J48" s="7" t="s">
        <v>9</v>
      </c>
      <c r="K48" s="7">
        <v>16</v>
      </c>
      <c r="L48" s="7" t="s">
        <v>9</v>
      </c>
      <c r="M48" s="7">
        <v>4</v>
      </c>
      <c r="N48" s="7">
        <v>4</v>
      </c>
      <c r="O48" s="7">
        <v>6</v>
      </c>
      <c r="P48" s="7">
        <v>1</v>
      </c>
      <c r="Q48" s="7">
        <v>2</v>
      </c>
      <c r="R48" s="7" t="s">
        <v>9</v>
      </c>
      <c r="S48" s="7" t="s">
        <v>9</v>
      </c>
      <c r="T48" s="18">
        <v>1</v>
      </c>
      <c r="U48" s="7">
        <v>5</v>
      </c>
      <c r="V48" s="7">
        <v>4</v>
      </c>
      <c r="W48" s="7">
        <v>1</v>
      </c>
      <c r="X48" s="7">
        <v>7</v>
      </c>
      <c r="Y48" s="18">
        <v>0</v>
      </c>
      <c r="Z48" s="35" t="s">
        <v>9</v>
      </c>
      <c r="AA48" s="35" t="s">
        <v>30</v>
      </c>
      <c r="AB48" s="35">
        <v>17</v>
      </c>
      <c r="AC48" s="7">
        <v>2</v>
      </c>
      <c r="AD48" s="7">
        <v>11</v>
      </c>
      <c r="AE48" s="7">
        <v>7</v>
      </c>
      <c r="AF48" s="27">
        <f>SUM(D48:AE48)</f>
        <v>111</v>
      </c>
      <c r="AG48" s="85">
        <f>SUM(AF48:AF53)</f>
        <v>506</v>
      </c>
    </row>
    <row r="49" spans="1:33" x14ac:dyDescent="0.25">
      <c r="A49" s="121"/>
      <c r="B49" s="125"/>
      <c r="C49" s="32" t="s">
        <v>50</v>
      </c>
      <c r="D49" s="14" t="s">
        <v>9</v>
      </c>
      <c r="E49" s="14" t="s">
        <v>9</v>
      </c>
      <c r="F49" s="14">
        <v>15</v>
      </c>
      <c r="G49" s="14">
        <v>0</v>
      </c>
      <c r="H49" s="14">
        <v>2</v>
      </c>
      <c r="I49" s="14">
        <v>4</v>
      </c>
      <c r="J49" s="14" t="s">
        <v>9</v>
      </c>
      <c r="K49" s="14">
        <v>9</v>
      </c>
      <c r="L49" s="14" t="s">
        <v>9</v>
      </c>
      <c r="M49" s="14">
        <v>9</v>
      </c>
      <c r="N49" s="14">
        <v>9</v>
      </c>
      <c r="O49" s="14">
        <v>8</v>
      </c>
      <c r="P49" s="14">
        <v>14</v>
      </c>
      <c r="Q49" s="14">
        <v>5</v>
      </c>
      <c r="R49" s="14" t="s">
        <v>9</v>
      </c>
      <c r="S49" s="14" t="s">
        <v>9</v>
      </c>
      <c r="T49" s="18">
        <v>5</v>
      </c>
      <c r="U49" s="14">
        <v>3</v>
      </c>
      <c r="V49" s="14">
        <v>1</v>
      </c>
      <c r="W49" s="14">
        <v>2</v>
      </c>
      <c r="X49" s="14">
        <v>1</v>
      </c>
      <c r="Y49" s="18">
        <v>4</v>
      </c>
      <c r="Z49" s="3" t="s">
        <v>9</v>
      </c>
      <c r="AA49" s="3" t="s">
        <v>30</v>
      </c>
      <c r="AB49" s="3">
        <v>5</v>
      </c>
      <c r="AC49" s="14">
        <v>2</v>
      </c>
      <c r="AD49" s="14">
        <v>3</v>
      </c>
      <c r="AE49" s="14">
        <v>1</v>
      </c>
      <c r="AF49" s="28">
        <f t="shared" ref="AF49:AF51" si="10">SUM(D49:AE49)</f>
        <v>102</v>
      </c>
      <c r="AG49" s="122"/>
    </row>
    <row r="50" spans="1:33" x14ac:dyDescent="0.25">
      <c r="A50" s="121"/>
      <c r="B50" s="125"/>
      <c r="C50" s="32" t="s">
        <v>49</v>
      </c>
      <c r="D50" s="14" t="s">
        <v>9</v>
      </c>
      <c r="E50" s="14" t="s">
        <v>9</v>
      </c>
      <c r="F50" s="14">
        <v>0</v>
      </c>
      <c r="G50" s="14">
        <v>0</v>
      </c>
      <c r="H50" s="14">
        <v>0</v>
      </c>
      <c r="I50" s="14">
        <v>0</v>
      </c>
      <c r="J50" s="14" t="s">
        <v>9</v>
      </c>
      <c r="K50" s="14">
        <v>0</v>
      </c>
      <c r="L50" s="14" t="s">
        <v>9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 t="s">
        <v>9</v>
      </c>
      <c r="S50" s="14" t="s">
        <v>9</v>
      </c>
      <c r="T50" s="18">
        <v>0</v>
      </c>
      <c r="U50" s="14">
        <v>0</v>
      </c>
      <c r="V50" s="14">
        <v>0</v>
      </c>
      <c r="W50" s="14">
        <v>0</v>
      </c>
      <c r="X50" s="14">
        <v>0</v>
      </c>
      <c r="Y50" s="18">
        <v>0</v>
      </c>
      <c r="Z50" s="3" t="s">
        <v>9</v>
      </c>
      <c r="AA50" s="3" t="s">
        <v>30</v>
      </c>
      <c r="AB50" s="3">
        <v>0</v>
      </c>
      <c r="AC50" s="14">
        <v>0</v>
      </c>
      <c r="AD50" s="14">
        <v>0</v>
      </c>
      <c r="AE50" s="14">
        <v>0</v>
      </c>
      <c r="AF50" s="28">
        <f t="shared" si="10"/>
        <v>0</v>
      </c>
      <c r="AG50" s="122"/>
    </row>
    <row r="51" spans="1:33" x14ac:dyDescent="0.25">
      <c r="A51" s="121"/>
      <c r="B51" s="126"/>
      <c r="C51" s="32" t="s">
        <v>51</v>
      </c>
      <c r="D51" s="14" t="s">
        <v>9</v>
      </c>
      <c r="E51" s="14" t="s">
        <v>9</v>
      </c>
      <c r="F51" s="14">
        <v>1</v>
      </c>
      <c r="G51" s="14">
        <v>0</v>
      </c>
      <c r="H51" s="14">
        <v>0</v>
      </c>
      <c r="I51" s="14">
        <v>1</v>
      </c>
      <c r="J51" s="14" t="s">
        <v>9</v>
      </c>
      <c r="K51" s="14">
        <v>1</v>
      </c>
      <c r="L51" s="14" t="s">
        <v>9</v>
      </c>
      <c r="M51" s="14">
        <v>0</v>
      </c>
      <c r="N51" s="14">
        <v>1</v>
      </c>
      <c r="O51" s="14">
        <v>0</v>
      </c>
      <c r="P51" s="14">
        <v>1</v>
      </c>
      <c r="Q51" s="14">
        <v>0</v>
      </c>
      <c r="R51" s="14" t="s">
        <v>9</v>
      </c>
      <c r="S51" s="14" t="s">
        <v>9</v>
      </c>
      <c r="T51" s="18">
        <v>0</v>
      </c>
      <c r="U51" s="14">
        <v>0</v>
      </c>
      <c r="V51" s="14">
        <v>0</v>
      </c>
      <c r="W51" s="14">
        <v>0</v>
      </c>
      <c r="X51" s="14">
        <v>0</v>
      </c>
      <c r="Y51" s="18">
        <v>0</v>
      </c>
      <c r="Z51" s="3" t="s">
        <v>9</v>
      </c>
      <c r="AA51" s="3" t="s">
        <v>30</v>
      </c>
      <c r="AB51" s="3">
        <v>0</v>
      </c>
      <c r="AC51" s="14">
        <v>1</v>
      </c>
      <c r="AD51" s="14">
        <v>1</v>
      </c>
      <c r="AE51" s="14">
        <v>0</v>
      </c>
      <c r="AF51" s="28">
        <f t="shared" si="10"/>
        <v>7</v>
      </c>
      <c r="AG51" s="122"/>
    </row>
    <row r="52" spans="1:33" x14ac:dyDescent="0.25">
      <c r="A52" s="90"/>
      <c r="B52" s="127" t="s">
        <v>45</v>
      </c>
      <c r="C52" s="30" t="s">
        <v>46</v>
      </c>
      <c r="D52" s="3" t="s">
        <v>9</v>
      </c>
      <c r="E52" s="3" t="s">
        <v>9</v>
      </c>
      <c r="F52" s="3">
        <v>8</v>
      </c>
      <c r="G52" s="3">
        <v>15</v>
      </c>
      <c r="H52" s="3">
        <v>9</v>
      </c>
      <c r="I52" s="3">
        <v>20</v>
      </c>
      <c r="J52" s="3" t="s">
        <v>9</v>
      </c>
      <c r="K52" s="3">
        <v>5</v>
      </c>
      <c r="L52" s="3" t="s">
        <v>9</v>
      </c>
      <c r="M52" s="3">
        <v>1</v>
      </c>
      <c r="N52" s="3">
        <v>15</v>
      </c>
      <c r="O52" s="3">
        <v>24</v>
      </c>
      <c r="P52" s="3">
        <v>15</v>
      </c>
      <c r="Q52" s="3">
        <v>33</v>
      </c>
      <c r="R52" s="3" t="s">
        <v>9</v>
      </c>
      <c r="S52" s="3" t="s">
        <v>9</v>
      </c>
      <c r="T52" s="18">
        <v>18</v>
      </c>
      <c r="U52" s="3">
        <v>28</v>
      </c>
      <c r="V52" s="3">
        <v>27</v>
      </c>
      <c r="W52" s="3">
        <v>17</v>
      </c>
      <c r="X52" s="3">
        <v>30</v>
      </c>
      <c r="Y52" s="18">
        <v>3</v>
      </c>
      <c r="Z52" s="3" t="s">
        <v>9</v>
      </c>
      <c r="AA52" s="3" t="s">
        <v>30</v>
      </c>
      <c r="AB52" s="3">
        <v>6</v>
      </c>
      <c r="AC52" s="3">
        <v>6</v>
      </c>
      <c r="AD52" s="3">
        <v>1</v>
      </c>
      <c r="AE52" s="3">
        <v>4</v>
      </c>
      <c r="AF52" s="28">
        <f>SUM(D52:AE52)</f>
        <v>285</v>
      </c>
      <c r="AG52" s="86"/>
    </row>
    <row r="53" spans="1:33" ht="13.5" thickBot="1" x14ac:dyDescent="0.3">
      <c r="A53" s="91"/>
      <c r="B53" s="128"/>
      <c r="C53" s="31" t="s">
        <v>47</v>
      </c>
      <c r="D53" s="8" t="s">
        <v>9</v>
      </c>
      <c r="E53" s="8" t="s">
        <v>9</v>
      </c>
      <c r="F53" s="8">
        <v>0</v>
      </c>
      <c r="G53" s="8">
        <v>0</v>
      </c>
      <c r="H53" s="8">
        <v>1</v>
      </c>
      <c r="I53" s="8">
        <v>0</v>
      </c>
      <c r="J53" s="8" t="s">
        <v>9</v>
      </c>
      <c r="K53" s="8">
        <v>0</v>
      </c>
      <c r="L53" s="8" t="s">
        <v>9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 t="s">
        <v>9</v>
      </c>
      <c r="S53" s="8" t="s">
        <v>9</v>
      </c>
      <c r="T53" s="18">
        <v>0</v>
      </c>
      <c r="U53" s="8">
        <v>0</v>
      </c>
      <c r="V53" s="8">
        <v>0</v>
      </c>
      <c r="W53" s="8">
        <v>0</v>
      </c>
      <c r="X53" s="8">
        <v>0</v>
      </c>
      <c r="Y53" s="18">
        <v>0</v>
      </c>
      <c r="Z53" s="36" t="s">
        <v>9</v>
      </c>
      <c r="AA53" s="14" t="s">
        <v>30</v>
      </c>
      <c r="AB53" s="36">
        <v>0</v>
      </c>
      <c r="AC53" s="8">
        <v>0</v>
      </c>
      <c r="AD53" s="8">
        <v>0</v>
      </c>
      <c r="AE53" s="8">
        <v>0</v>
      </c>
      <c r="AF53" s="26">
        <f>SUM(D53:AE53)</f>
        <v>1</v>
      </c>
      <c r="AG53" s="87"/>
    </row>
    <row r="54" spans="1:33" x14ac:dyDescent="0.25">
      <c r="A54" s="124" t="s">
        <v>52</v>
      </c>
      <c r="B54" s="124" t="s">
        <v>18</v>
      </c>
      <c r="C54" s="29" t="s">
        <v>48</v>
      </c>
      <c r="D54" s="7">
        <v>16</v>
      </c>
      <c r="E54" s="7" t="s">
        <v>9</v>
      </c>
      <c r="F54" s="7">
        <v>8</v>
      </c>
      <c r="G54" s="7">
        <v>11</v>
      </c>
      <c r="H54" s="7">
        <v>4</v>
      </c>
      <c r="I54" s="7">
        <v>11</v>
      </c>
      <c r="J54" s="7">
        <v>1</v>
      </c>
      <c r="K54" s="7" t="s">
        <v>9</v>
      </c>
      <c r="L54" s="7" t="s">
        <v>9</v>
      </c>
      <c r="M54" s="7" t="s">
        <v>9</v>
      </c>
      <c r="N54" s="7">
        <v>8</v>
      </c>
      <c r="O54" s="7">
        <v>9</v>
      </c>
      <c r="P54" s="7">
        <v>1</v>
      </c>
      <c r="Q54" s="7" t="s">
        <v>30</v>
      </c>
      <c r="R54" s="7">
        <v>2</v>
      </c>
      <c r="S54" s="7" t="s">
        <v>9</v>
      </c>
      <c r="T54" s="7">
        <v>10</v>
      </c>
      <c r="U54" s="7">
        <v>5</v>
      </c>
      <c r="V54" s="7">
        <v>7</v>
      </c>
      <c r="W54" s="7">
        <v>5</v>
      </c>
      <c r="X54" s="7">
        <v>11</v>
      </c>
      <c r="Y54" s="7">
        <v>5</v>
      </c>
      <c r="Z54" s="7" t="s">
        <v>9</v>
      </c>
      <c r="AA54" s="7">
        <v>7</v>
      </c>
      <c r="AB54" s="7">
        <v>16</v>
      </c>
      <c r="AC54" s="7">
        <v>12</v>
      </c>
      <c r="AD54" s="7">
        <v>17</v>
      </c>
      <c r="AE54" s="7">
        <v>3</v>
      </c>
      <c r="AF54" s="27">
        <f>SUM(D54:AE54)</f>
        <v>169</v>
      </c>
      <c r="AG54" s="85">
        <f>SUM(AF54:AF59)</f>
        <v>482</v>
      </c>
    </row>
    <row r="55" spans="1:33" ht="15" customHeight="1" x14ac:dyDescent="0.25">
      <c r="A55" s="125"/>
      <c r="B55" s="125"/>
      <c r="C55" s="32" t="s">
        <v>50</v>
      </c>
      <c r="D55" s="14">
        <v>4</v>
      </c>
      <c r="E55" s="14" t="s">
        <v>9</v>
      </c>
      <c r="F55" s="14">
        <v>7</v>
      </c>
      <c r="G55" s="14">
        <v>3</v>
      </c>
      <c r="H55" s="14">
        <v>0</v>
      </c>
      <c r="I55" s="14">
        <v>1</v>
      </c>
      <c r="J55" s="14">
        <v>1</v>
      </c>
      <c r="K55" s="14" t="s">
        <v>9</v>
      </c>
      <c r="L55" s="14" t="s">
        <v>9</v>
      </c>
      <c r="M55" s="14" t="s">
        <v>9</v>
      </c>
      <c r="N55" s="14">
        <v>2</v>
      </c>
      <c r="O55" s="14">
        <v>2</v>
      </c>
      <c r="P55" s="14">
        <v>0</v>
      </c>
      <c r="Q55" s="14" t="s">
        <v>30</v>
      </c>
      <c r="R55" s="14">
        <v>1</v>
      </c>
      <c r="S55" s="14" t="s">
        <v>9</v>
      </c>
      <c r="T55" s="14">
        <v>0</v>
      </c>
      <c r="U55" s="14">
        <v>2</v>
      </c>
      <c r="V55" s="14">
        <v>0</v>
      </c>
      <c r="W55" s="14">
        <v>0</v>
      </c>
      <c r="X55" s="14">
        <v>1</v>
      </c>
      <c r="Y55" s="14">
        <v>0</v>
      </c>
      <c r="Z55" s="14" t="s">
        <v>9</v>
      </c>
      <c r="AA55" s="14">
        <v>6</v>
      </c>
      <c r="AB55" s="14">
        <v>2</v>
      </c>
      <c r="AC55" s="14">
        <v>0</v>
      </c>
      <c r="AD55" s="14">
        <v>2</v>
      </c>
      <c r="AE55" s="14">
        <v>3</v>
      </c>
      <c r="AF55" s="28">
        <f t="shared" ref="AF55:AF57" si="11">SUM(D55:AE55)</f>
        <v>37</v>
      </c>
      <c r="AG55" s="122"/>
    </row>
    <row r="56" spans="1:33" ht="15" customHeight="1" x14ac:dyDescent="0.25">
      <c r="A56" s="125"/>
      <c r="B56" s="125"/>
      <c r="C56" s="32" t="s">
        <v>49</v>
      </c>
      <c r="D56" s="14">
        <v>0</v>
      </c>
      <c r="E56" s="14" t="s">
        <v>9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 t="s">
        <v>9</v>
      </c>
      <c r="L56" s="14" t="s">
        <v>9</v>
      </c>
      <c r="M56" s="14" t="s">
        <v>9</v>
      </c>
      <c r="N56" s="14">
        <v>0</v>
      </c>
      <c r="O56" s="14">
        <v>0</v>
      </c>
      <c r="P56" s="14">
        <v>0</v>
      </c>
      <c r="Q56" s="14" t="s">
        <v>30</v>
      </c>
      <c r="R56" s="14">
        <v>0</v>
      </c>
      <c r="S56" s="14" t="s">
        <v>9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 t="s">
        <v>9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28">
        <f t="shared" si="11"/>
        <v>0</v>
      </c>
      <c r="AG56" s="122"/>
    </row>
    <row r="57" spans="1:33" ht="15" customHeight="1" x14ac:dyDescent="0.25">
      <c r="A57" s="125"/>
      <c r="B57" s="126"/>
      <c r="C57" s="32" t="s">
        <v>51</v>
      </c>
      <c r="D57" s="14">
        <v>1</v>
      </c>
      <c r="E57" s="14" t="s">
        <v>9</v>
      </c>
      <c r="F57" s="14">
        <v>1</v>
      </c>
      <c r="G57" s="14">
        <v>0</v>
      </c>
      <c r="H57" s="14">
        <v>2</v>
      </c>
      <c r="I57" s="14">
        <v>0</v>
      </c>
      <c r="J57" s="14">
        <v>0</v>
      </c>
      <c r="K57" s="14" t="s">
        <v>9</v>
      </c>
      <c r="L57" s="14" t="s">
        <v>9</v>
      </c>
      <c r="M57" s="14" t="s">
        <v>9</v>
      </c>
      <c r="N57" s="14">
        <v>0</v>
      </c>
      <c r="O57" s="14">
        <v>0</v>
      </c>
      <c r="P57" s="14">
        <v>0</v>
      </c>
      <c r="Q57" s="14" t="s">
        <v>30</v>
      </c>
      <c r="R57" s="14">
        <v>0</v>
      </c>
      <c r="S57" s="14" t="s">
        <v>9</v>
      </c>
      <c r="T57" s="14">
        <v>1</v>
      </c>
      <c r="U57" s="14">
        <v>1</v>
      </c>
      <c r="V57" s="14">
        <v>0</v>
      </c>
      <c r="W57" s="14">
        <v>0</v>
      </c>
      <c r="X57" s="14">
        <v>3</v>
      </c>
      <c r="Y57" s="14">
        <v>0</v>
      </c>
      <c r="Z57" s="14" t="s">
        <v>9</v>
      </c>
      <c r="AA57" s="14">
        <v>0</v>
      </c>
      <c r="AB57" s="14">
        <v>0</v>
      </c>
      <c r="AC57" s="14">
        <v>1</v>
      </c>
      <c r="AD57" s="14">
        <v>1</v>
      </c>
      <c r="AE57" s="14">
        <v>1</v>
      </c>
      <c r="AF57" s="28">
        <f t="shared" si="11"/>
        <v>12</v>
      </c>
      <c r="AG57" s="122"/>
    </row>
    <row r="58" spans="1:33" x14ac:dyDescent="0.25">
      <c r="A58" s="125"/>
      <c r="B58" s="127" t="s">
        <v>45</v>
      </c>
      <c r="C58" s="30" t="s">
        <v>46</v>
      </c>
      <c r="D58" s="3">
        <v>11</v>
      </c>
      <c r="E58" s="3" t="s">
        <v>9</v>
      </c>
      <c r="F58" s="3">
        <v>6</v>
      </c>
      <c r="G58" s="3">
        <v>6</v>
      </c>
      <c r="H58" s="3">
        <v>2</v>
      </c>
      <c r="I58" s="3">
        <v>0</v>
      </c>
      <c r="J58" s="3">
        <v>3</v>
      </c>
      <c r="K58" s="3" t="s">
        <v>9</v>
      </c>
      <c r="L58" s="3" t="s">
        <v>9</v>
      </c>
      <c r="M58" s="3" t="s">
        <v>9</v>
      </c>
      <c r="N58" s="3">
        <v>8</v>
      </c>
      <c r="O58" s="3">
        <v>10</v>
      </c>
      <c r="P58" s="3">
        <v>16</v>
      </c>
      <c r="Q58" s="3" t="s">
        <v>30</v>
      </c>
      <c r="R58" s="3">
        <v>5</v>
      </c>
      <c r="S58" s="3" t="s">
        <v>9</v>
      </c>
      <c r="T58" s="3">
        <v>31</v>
      </c>
      <c r="U58" s="3">
        <v>11</v>
      </c>
      <c r="V58" s="3">
        <v>24</v>
      </c>
      <c r="W58" s="3">
        <v>28</v>
      </c>
      <c r="X58" s="3">
        <v>32</v>
      </c>
      <c r="Y58" s="3">
        <v>27</v>
      </c>
      <c r="Z58" s="3" t="s">
        <v>9</v>
      </c>
      <c r="AA58" s="3">
        <v>19</v>
      </c>
      <c r="AB58" s="3">
        <v>12</v>
      </c>
      <c r="AC58" s="3">
        <v>5</v>
      </c>
      <c r="AD58" s="3">
        <v>2</v>
      </c>
      <c r="AE58" s="3">
        <v>2</v>
      </c>
      <c r="AF58" s="28">
        <f>SUM(D58:AE58)</f>
        <v>260</v>
      </c>
      <c r="AG58" s="86"/>
    </row>
    <row r="59" spans="1:33" ht="13.5" thickBot="1" x14ac:dyDescent="0.3">
      <c r="A59" s="128"/>
      <c r="B59" s="128"/>
      <c r="C59" s="31" t="s">
        <v>47</v>
      </c>
      <c r="D59" s="8">
        <v>0</v>
      </c>
      <c r="E59" s="8" t="s">
        <v>9</v>
      </c>
      <c r="F59" s="8">
        <v>0</v>
      </c>
      <c r="G59" s="8">
        <v>1</v>
      </c>
      <c r="H59" s="8">
        <v>0</v>
      </c>
      <c r="I59" s="8">
        <v>0</v>
      </c>
      <c r="J59" s="8">
        <v>0</v>
      </c>
      <c r="K59" s="8" t="s">
        <v>9</v>
      </c>
      <c r="L59" s="8" t="s">
        <v>9</v>
      </c>
      <c r="M59" s="8" t="s">
        <v>9</v>
      </c>
      <c r="N59" s="8">
        <v>0</v>
      </c>
      <c r="O59" s="8">
        <v>0</v>
      </c>
      <c r="P59" s="8">
        <v>0</v>
      </c>
      <c r="Q59" s="8" t="s">
        <v>30</v>
      </c>
      <c r="R59" s="8">
        <v>1</v>
      </c>
      <c r="S59" s="8" t="s">
        <v>9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1</v>
      </c>
      <c r="Z59" s="8" t="s">
        <v>9</v>
      </c>
      <c r="AA59" s="8">
        <v>0</v>
      </c>
      <c r="AB59" s="8">
        <v>0</v>
      </c>
      <c r="AC59" s="8">
        <v>0</v>
      </c>
      <c r="AD59" s="8">
        <v>1</v>
      </c>
      <c r="AE59" s="8">
        <v>0</v>
      </c>
      <c r="AF59" s="26">
        <f>SUM(D59:AE59)</f>
        <v>4</v>
      </c>
      <c r="AG59" s="87"/>
    </row>
    <row r="60" spans="1:33" x14ac:dyDescent="0.25">
      <c r="A60" s="129" t="s">
        <v>31</v>
      </c>
      <c r="B60" s="124" t="s">
        <v>18</v>
      </c>
      <c r="C60" s="29" t="s">
        <v>48</v>
      </c>
      <c r="D60" s="7" t="s">
        <v>9</v>
      </c>
      <c r="E60" s="7" t="s">
        <v>9</v>
      </c>
      <c r="F60" s="7">
        <v>11</v>
      </c>
      <c r="G60" s="7">
        <v>2</v>
      </c>
      <c r="H60" s="7">
        <v>2</v>
      </c>
      <c r="I60" s="7">
        <v>13</v>
      </c>
      <c r="J60" s="7">
        <v>3</v>
      </c>
      <c r="K60" s="7">
        <v>0</v>
      </c>
      <c r="L60" s="7" t="s">
        <v>9</v>
      </c>
      <c r="M60" s="7">
        <v>12</v>
      </c>
      <c r="N60" s="7">
        <v>0</v>
      </c>
      <c r="O60" s="20">
        <v>3</v>
      </c>
      <c r="P60" s="7">
        <v>2</v>
      </c>
      <c r="Q60" s="7">
        <v>5</v>
      </c>
      <c r="R60" s="20">
        <v>0</v>
      </c>
      <c r="S60" s="7" t="s">
        <v>9</v>
      </c>
      <c r="T60" s="7">
        <v>1</v>
      </c>
      <c r="U60" s="7">
        <v>5</v>
      </c>
      <c r="V60" s="7">
        <v>0</v>
      </c>
      <c r="W60" s="7">
        <v>9</v>
      </c>
      <c r="X60" s="7">
        <v>0</v>
      </c>
      <c r="Y60" s="7">
        <v>7</v>
      </c>
      <c r="Z60" s="7" t="s">
        <v>9</v>
      </c>
      <c r="AA60" s="7">
        <v>5</v>
      </c>
      <c r="AB60" s="7">
        <v>0</v>
      </c>
      <c r="AC60" s="7">
        <v>0</v>
      </c>
      <c r="AD60" s="7">
        <v>11</v>
      </c>
      <c r="AE60" s="7">
        <v>5</v>
      </c>
      <c r="AF60" s="27">
        <f>SUM(D60:AE60)</f>
        <v>96</v>
      </c>
      <c r="AG60" s="85">
        <f>SUM(AF60:AF65)</f>
        <v>424</v>
      </c>
    </row>
    <row r="61" spans="1:33" x14ac:dyDescent="0.25">
      <c r="A61" s="126"/>
      <c r="B61" s="125"/>
      <c r="C61" s="32" t="s">
        <v>50</v>
      </c>
      <c r="D61" s="14" t="s">
        <v>9</v>
      </c>
      <c r="E61" s="14" t="s">
        <v>9</v>
      </c>
      <c r="F61" s="14">
        <v>1</v>
      </c>
      <c r="G61" s="14">
        <v>6</v>
      </c>
      <c r="H61" s="14">
        <v>1</v>
      </c>
      <c r="I61" s="14">
        <v>0</v>
      </c>
      <c r="J61" s="14">
        <v>1</v>
      </c>
      <c r="K61" s="14">
        <v>2</v>
      </c>
      <c r="L61" s="14" t="s">
        <v>9</v>
      </c>
      <c r="M61" s="14">
        <v>0</v>
      </c>
      <c r="N61" s="14">
        <v>0</v>
      </c>
      <c r="O61" s="14">
        <v>0</v>
      </c>
      <c r="P61" s="14">
        <v>5</v>
      </c>
      <c r="Q61" s="14">
        <v>0</v>
      </c>
      <c r="R61" s="14">
        <v>0</v>
      </c>
      <c r="S61" s="14" t="s">
        <v>9</v>
      </c>
      <c r="T61" s="14">
        <v>1</v>
      </c>
      <c r="U61" s="14">
        <v>0</v>
      </c>
      <c r="V61" s="14">
        <v>0</v>
      </c>
      <c r="W61" s="14">
        <v>1</v>
      </c>
      <c r="X61" s="14">
        <v>2</v>
      </c>
      <c r="Y61" s="14">
        <v>0</v>
      </c>
      <c r="Z61" s="14" t="s">
        <v>9</v>
      </c>
      <c r="AA61" s="14">
        <v>2</v>
      </c>
      <c r="AB61" s="14">
        <v>1</v>
      </c>
      <c r="AC61" s="14">
        <v>0</v>
      </c>
      <c r="AD61" s="14">
        <v>2</v>
      </c>
      <c r="AE61" s="14">
        <v>1</v>
      </c>
      <c r="AF61" s="28">
        <f t="shared" ref="AF61:AF63" si="12">SUM(D61:AE61)</f>
        <v>26</v>
      </c>
      <c r="AG61" s="122"/>
    </row>
    <row r="62" spans="1:33" x14ac:dyDescent="0.25">
      <c r="A62" s="126"/>
      <c r="B62" s="125"/>
      <c r="C62" s="32" t="s">
        <v>49</v>
      </c>
      <c r="D62" s="14" t="s">
        <v>9</v>
      </c>
      <c r="E62" s="14" t="s">
        <v>9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 t="s">
        <v>9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 t="s">
        <v>9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 t="s">
        <v>9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28">
        <f t="shared" si="12"/>
        <v>0</v>
      </c>
      <c r="AG62" s="122"/>
    </row>
    <row r="63" spans="1:33" x14ac:dyDescent="0.25">
      <c r="A63" s="126"/>
      <c r="B63" s="126"/>
      <c r="C63" s="32" t="s">
        <v>51</v>
      </c>
      <c r="D63" s="14" t="s">
        <v>9</v>
      </c>
      <c r="E63" s="14" t="s">
        <v>9</v>
      </c>
      <c r="F63" s="14">
        <v>1</v>
      </c>
      <c r="G63" s="14">
        <v>1</v>
      </c>
      <c r="H63" s="14">
        <v>1</v>
      </c>
      <c r="I63" s="14">
        <v>0</v>
      </c>
      <c r="J63" s="14">
        <v>0</v>
      </c>
      <c r="K63" s="14">
        <v>1</v>
      </c>
      <c r="L63" s="14" t="s">
        <v>9</v>
      </c>
      <c r="M63" s="14">
        <v>2</v>
      </c>
      <c r="N63" s="14">
        <v>0</v>
      </c>
      <c r="O63" s="14">
        <v>0</v>
      </c>
      <c r="P63" s="14">
        <v>1</v>
      </c>
      <c r="Q63" s="14">
        <v>1</v>
      </c>
      <c r="R63" s="14">
        <v>0</v>
      </c>
      <c r="S63" s="14" t="s">
        <v>9</v>
      </c>
      <c r="T63" s="14">
        <v>2</v>
      </c>
      <c r="U63" s="14">
        <v>0</v>
      </c>
      <c r="V63" s="14">
        <v>0</v>
      </c>
      <c r="W63" s="14">
        <v>3</v>
      </c>
      <c r="X63" s="14">
        <v>0</v>
      </c>
      <c r="Y63" s="14">
        <v>0</v>
      </c>
      <c r="Z63" s="14" t="s">
        <v>9</v>
      </c>
      <c r="AA63" s="14">
        <v>1</v>
      </c>
      <c r="AB63" s="14">
        <v>0</v>
      </c>
      <c r="AC63" s="14">
        <v>1</v>
      </c>
      <c r="AD63" s="14">
        <v>2</v>
      </c>
      <c r="AE63" s="14">
        <v>0</v>
      </c>
      <c r="AF63" s="28">
        <f t="shared" si="12"/>
        <v>17</v>
      </c>
      <c r="AG63" s="122"/>
    </row>
    <row r="64" spans="1:33" x14ac:dyDescent="0.25">
      <c r="A64" s="130"/>
      <c r="B64" s="127" t="s">
        <v>45</v>
      </c>
      <c r="C64" s="30" t="s">
        <v>46</v>
      </c>
      <c r="D64" s="3" t="s">
        <v>9</v>
      </c>
      <c r="E64" s="3" t="s">
        <v>9</v>
      </c>
      <c r="F64" s="3">
        <v>14</v>
      </c>
      <c r="G64" s="3">
        <v>3</v>
      </c>
      <c r="H64" s="3">
        <v>6</v>
      </c>
      <c r="I64" s="3">
        <v>3</v>
      </c>
      <c r="J64" s="3">
        <v>4</v>
      </c>
      <c r="K64" s="3">
        <v>2</v>
      </c>
      <c r="L64" s="3" t="s">
        <v>9</v>
      </c>
      <c r="M64" s="3">
        <v>2</v>
      </c>
      <c r="N64" s="3">
        <v>7</v>
      </c>
      <c r="O64" s="17">
        <v>14</v>
      </c>
      <c r="P64" s="3">
        <v>14</v>
      </c>
      <c r="Q64" s="3">
        <v>17</v>
      </c>
      <c r="R64" s="17">
        <v>1</v>
      </c>
      <c r="S64" s="3" t="s">
        <v>9</v>
      </c>
      <c r="T64" s="3">
        <v>14</v>
      </c>
      <c r="U64" s="3">
        <v>33</v>
      </c>
      <c r="V64" s="3">
        <v>22</v>
      </c>
      <c r="W64" s="3">
        <v>16</v>
      </c>
      <c r="X64" s="3">
        <v>8</v>
      </c>
      <c r="Y64" s="3">
        <v>18</v>
      </c>
      <c r="Z64" s="3" t="s">
        <v>9</v>
      </c>
      <c r="AA64" s="3">
        <v>18</v>
      </c>
      <c r="AB64" s="3">
        <v>52</v>
      </c>
      <c r="AC64" s="3">
        <v>7</v>
      </c>
      <c r="AD64" s="3">
        <v>2</v>
      </c>
      <c r="AE64" s="3">
        <v>6</v>
      </c>
      <c r="AF64" s="28">
        <f>SUM(D64:AE64)</f>
        <v>283</v>
      </c>
      <c r="AG64" s="86"/>
    </row>
    <row r="65" spans="1:33" ht="13.5" thickBot="1" x14ac:dyDescent="0.3">
      <c r="A65" s="131"/>
      <c r="B65" s="128"/>
      <c r="C65" s="31" t="s">
        <v>47</v>
      </c>
      <c r="D65" s="8" t="s">
        <v>9</v>
      </c>
      <c r="E65" s="8" t="s">
        <v>9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 t="s">
        <v>9</v>
      </c>
      <c r="M65" s="8">
        <v>2</v>
      </c>
      <c r="N65" s="8">
        <v>0</v>
      </c>
      <c r="O65" s="21">
        <v>0</v>
      </c>
      <c r="P65" s="8">
        <v>0</v>
      </c>
      <c r="Q65" s="8">
        <v>0</v>
      </c>
      <c r="R65" s="21">
        <v>0</v>
      </c>
      <c r="S65" s="8" t="s">
        <v>9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9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26">
        <f>SUM(D65:AE65)</f>
        <v>2</v>
      </c>
      <c r="AG65" s="87"/>
    </row>
    <row r="66" spans="1:33" x14ac:dyDescent="0.25">
      <c r="A66" s="89" t="s">
        <v>34</v>
      </c>
      <c r="B66" s="124" t="s">
        <v>18</v>
      </c>
      <c r="C66" s="29" t="s">
        <v>48</v>
      </c>
      <c r="D66" s="7" t="s">
        <v>9</v>
      </c>
      <c r="E66" s="7" t="s">
        <v>9</v>
      </c>
      <c r="F66" s="7">
        <v>11</v>
      </c>
      <c r="G66" s="7">
        <v>17</v>
      </c>
      <c r="H66" s="7">
        <v>0</v>
      </c>
      <c r="I66" s="7">
        <v>13</v>
      </c>
      <c r="J66" s="7">
        <v>3</v>
      </c>
      <c r="K66" s="7">
        <v>7</v>
      </c>
      <c r="L66" s="7" t="s">
        <v>9</v>
      </c>
      <c r="M66" s="7">
        <v>2</v>
      </c>
      <c r="N66" s="7">
        <v>3</v>
      </c>
      <c r="O66" s="7">
        <v>2</v>
      </c>
      <c r="P66" s="7">
        <v>3</v>
      </c>
      <c r="Q66" s="7" t="s">
        <v>9</v>
      </c>
      <c r="R66" s="7" t="s">
        <v>9</v>
      </c>
      <c r="S66" s="7" t="s">
        <v>9</v>
      </c>
      <c r="T66" s="7">
        <v>6</v>
      </c>
      <c r="U66" s="7">
        <v>2</v>
      </c>
      <c r="V66" s="7">
        <v>3</v>
      </c>
      <c r="W66" s="7">
        <v>0</v>
      </c>
      <c r="X66" s="7">
        <v>6</v>
      </c>
      <c r="Y66" s="7">
        <v>10</v>
      </c>
      <c r="Z66" s="7" t="s">
        <v>9</v>
      </c>
      <c r="AA66" s="7">
        <v>7</v>
      </c>
      <c r="AB66" s="7">
        <v>25</v>
      </c>
      <c r="AC66" s="7">
        <v>7</v>
      </c>
      <c r="AD66" s="7">
        <v>0</v>
      </c>
      <c r="AE66" s="7">
        <v>13</v>
      </c>
      <c r="AF66" s="39">
        <f>SUM(D66:AE66)</f>
        <v>140</v>
      </c>
      <c r="AG66" s="85">
        <f>SUM(AF66:AF71)</f>
        <v>431</v>
      </c>
    </row>
    <row r="67" spans="1:33" x14ac:dyDescent="0.25">
      <c r="A67" s="121"/>
      <c r="B67" s="125"/>
      <c r="C67" s="32" t="s">
        <v>50</v>
      </c>
      <c r="D67" s="14" t="s">
        <v>9</v>
      </c>
      <c r="E67" s="14" t="s">
        <v>9</v>
      </c>
      <c r="F67" s="14">
        <v>4</v>
      </c>
      <c r="G67" s="14">
        <v>0</v>
      </c>
      <c r="H67" s="14">
        <v>6</v>
      </c>
      <c r="I67" s="14">
        <v>2</v>
      </c>
      <c r="J67" s="14">
        <v>1</v>
      </c>
      <c r="K67" s="14">
        <v>1</v>
      </c>
      <c r="L67" s="14" t="s">
        <v>9</v>
      </c>
      <c r="M67" s="14">
        <v>4</v>
      </c>
      <c r="N67" s="14">
        <v>0</v>
      </c>
      <c r="O67" s="14">
        <v>0</v>
      </c>
      <c r="P67" s="14">
        <v>0</v>
      </c>
      <c r="Q67" s="14" t="s">
        <v>9</v>
      </c>
      <c r="R67" s="14" t="s">
        <v>9</v>
      </c>
      <c r="S67" s="14" t="s">
        <v>9</v>
      </c>
      <c r="T67" s="14">
        <v>7</v>
      </c>
      <c r="U67" s="14">
        <v>0</v>
      </c>
      <c r="V67" s="14">
        <v>0</v>
      </c>
      <c r="W67" s="14">
        <v>2</v>
      </c>
      <c r="X67" s="14">
        <v>0</v>
      </c>
      <c r="Y67" s="14">
        <v>0</v>
      </c>
      <c r="Z67" s="14" t="s">
        <v>9</v>
      </c>
      <c r="AA67" s="14">
        <v>1</v>
      </c>
      <c r="AB67" s="14">
        <v>0</v>
      </c>
      <c r="AC67" s="14">
        <v>1</v>
      </c>
      <c r="AD67" s="14">
        <v>2</v>
      </c>
      <c r="AE67" s="14">
        <v>2</v>
      </c>
      <c r="AF67" s="40">
        <v>38</v>
      </c>
      <c r="AG67" s="122"/>
    </row>
    <row r="68" spans="1:33" x14ac:dyDescent="0.25">
      <c r="A68" s="121"/>
      <c r="B68" s="125"/>
      <c r="C68" s="32" t="s">
        <v>49</v>
      </c>
      <c r="D68" s="14" t="s">
        <v>9</v>
      </c>
      <c r="E68" s="14" t="s">
        <v>9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 t="s">
        <v>9</v>
      </c>
      <c r="M68" s="14">
        <v>0</v>
      </c>
      <c r="N68" s="14">
        <v>0</v>
      </c>
      <c r="O68" s="14">
        <v>0</v>
      </c>
      <c r="P68" s="14">
        <v>0</v>
      </c>
      <c r="Q68" s="14" t="s">
        <v>9</v>
      </c>
      <c r="R68" s="14" t="s">
        <v>9</v>
      </c>
      <c r="S68" s="14" t="s">
        <v>9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 t="s">
        <v>9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40">
        <f t="shared" ref="AF68:AF69" si="13">SUM(D68:AE68)</f>
        <v>0</v>
      </c>
      <c r="AG68" s="122"/>
    </row>
    <row r="69" spans="1:33" x14ac:dyDescent="0.25">
      <c r="A69" s="121"/>
      <c r="B69" s="126"/>
      <c r="C69" s="32" t="s">
        <v>51</v>
      </c>
      <c r="D69" s="14" t="s">
        <v>9</v>
      </c>
      <c r="E69" s="14" t="s">
        <v>9</v>
      </c>
      <c r="F69" s="14">
        <v>1</v>
      </c>
      <c r="G69" s="14">
        <v>2</v>
      </c>
      <c r="H69" s="14">
        <v>1</v>
      </c>
      <c r="I69" s="14">
        <v>1</v>
      </c>
      <c r="J69" s="14">
        <v>0</v>
      </c>
      <c r="K69" s="14">
        <v>1</v>
      </c>
      <c r="L69" s="14" t="s">
        <v>9</v>
      </c>
      <c r="M69" s="14">
        <v>0</v>
      </c>
      <c r="N69" s="14">
        <v>1</v>
      </c>
      <c r="O69" s="14">
        <v>1</v>
      </c>
      <c r="P69" s="14">
        <v>1</v>
      </c>
      <c r="Q69" s="14" t="s">
        <v>9</v>
      </c>
      <c r="R69" s="14" t="s">
        <v>9</v>
      </c>
      <c r="S69" s="14" t="s">
        <v>9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1</v>
      </c>
      <c r="Z69" s="14" t="s">
        <v>9</v>
      </c>
      <c r="AA69" s="14">
        <v>1</v>
      </c>
      <c r="AB69" s="14">
        <v>0</v>
      </c>
      <c r="AC69" s="14">
        <v>2</v>
      </c>
      <c r="AD69" s="14">
        <v>0</v>
      </c>
      <c r="AE69" s="14">
        <v>0</v>
      </c>
      <c r="AF69" s="40">
        <f t="shared" si="13"/>
        <v>13</v>
      </c>
      <c r="AG69" s="122"/>
    </row>
    <row r="70" spans="1:33" x14ac:dyDescent="0.25">
      <c r="A70" s="90"/>
      <c r="B70" s="127" t="s">
        <v>45</v>
      </c>
      <c r="C70" s="30" t="s">
        <v>46</v>
      </c>
      <c r="D70" s="3" t="s">
        <v>9</v>
      </c>
      <c r="E70" s="3" t="s">
        <v>9</v>
      </c>
      <c r="F70" s="3">
        <v>2</v>
      </c>
      <c r="G70" s="3">
        <v>16</v>
      </c>
      <c r="H70" s="3">
        <v>3</v>
      </c>
      <c r="I70" s="3">
        <v>0</v>
      </c>
      <c r="J70" s="3">
        <v>4</v>
      </c>
      <c r="K70" s="3">
        <v>5</v>
      </c>
      <c r="L70" s="3" t="s">
        <v>9</v>
      </c>
      <c r="M70" s="3">
        <v>12</v>
      </c>
      <c r="N70" s="3">
        <v>11</v>
      </c>
      <c r="O70" s="3">
        <v>21</v>
      </c>
      <c r="P70" s="3">
        <v>31</v>
      </c>
      <c r="Q70" s="3" t="s">
        <v>9</v>
      </c>
      <c r="R70" s="3" t="s">
        <v>9</v>
      </c>
      <c r="S70" s="3" t="s">
        <v>9</v>
      </c>
      <c r="T70" s="3">
        <v>9</v>
      </c>
      <c r="U70" s="3">
        <v>9</v>
      </c>
      <c r="V70" s="3">
        <v>4</v>
      </c>
      <c r="W70" s="3">
        <v>16</v>
      </c>
      <c r="X70" s="3">
        <v>21</v>
      </c>
      <c r="Y70" s="3">
        <v>18</v>
      </c>
      <c r="Z70" s="3" t="s">
        <v>9</v>
      </c>
      <c r="AA70" s="3">
        <v>19</v>
      </c>
      <c r="AB70" s="3">
        <v>22</v>
      </c>
      <c r="AC70" s="3">
        <v>7</v>
      </c>
      <c r="AD70" s="3">
        <v>2</v>
      </c>
      <c r="AE70" s="3">
        <v>8</v>
      </c>
      <c r="AF70" s="28">
        <f>SUM(D70:AE70)</f>
        <v>240</v>
      </c>
      <c r="AG70" s="86"/>
    </row>
    <row r="71" spans="1:33" ht="13.5" thickBot="1" x14ac:dyDescent="0.3">
      <c r="A71" s="91"/>
      <c r="B71" s="128"/>
      <c r="C71" s="31" t="s">
        <v>47</v>
      </c>
      <c r="D71" s="8" t="s">
        <v>9</v>
      </c>
      <c r="E71" s="8" t="s">
        <v>9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 t="s">
        <v>9</v>
      </c>
      <c r="M71" s="8">
        <v>0</v>
      </c>
      <c r="N71" s="8">
        <v>0</v>
      </c>
      <c r="O71" s="8">
        <v>0</v>
      </c>
      <c r="P71" s="8">
        <v>0</v>
      </c>
      <c r="Q71" s="8" t="s">
        <v>9</v>
      </c>
      <c r="R71" s="8" t="s">
        <v>9</v>
      </c>
      <c r="S71" s="8" t="s">
        <v>9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 t="s">
        <v>9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26">
        <f>SUM(D71:AE71)</f>
        <v>0</v>
      </c>
      <c r="AG71" s="87"/>
    </row>
    <row r="72" spans="1:33" ht="13.5" thickBot="1" x14ac:dyDescent="0.3">
      <c r="A72" s="110" t="s">
        <v>1</v>
      </c>
      <c r="B72" s="141"/>
      <c r="C72" s="111"/>
      <c r="D72" s="9">
        <f>SUM(D18:D71)</f>
        <v>100</v>
      </c>
      <c r="E72" s="9" t="s">
        <v>29</v>
      </c>
      <c r="F72" s="9">
        <f t="shared" ref="F72:K72" si="14">SUM(F18:F71)</f>
        <v>230</v>
      </c>
      <c r="G72" s="9">
        <f t="shared" si="14"/>
        <v>267</v>
      </c>
      <c r="H72" s="9">
        <f t="shared" si="14"/>
        <v>182</v>
      </c>
      <c r="I72" s="9">
        <f t="shared" si="14"/>
        <v>209</v>
      </c>
      <c r="J72" s="9">
        <f t="shared" si="14"/>
        <v>147</v>
      </c>
      <c r="K72" s="9">
        <f t="shared" si="14"/>
        <v>72</v>
      </c>
      <c r="L72" s="9" t="s">
        <v>29</v>
      </c>
      <c r="M72" s="9">
        <f t="shared" ref="M72:R72" si="15">SUM(M18:M71)</f>
        <v>199</v>
      </c>
      <c r="N72" s="9">
        <f t="shared" si="15"/>
        <v>194</v>
      </c>
      <c r="O72" s="9">
        <f t="shared" si="15"/>
        <v>265</v>
      </c>
      <c r="P72" s="9">
        <f t="shared" si="15"/>
        <v>251</v>
      </c>
      <c r="Q72" s="9">
        <f t="shared" si="15"/>
        <v>313</v>
      </c>
      <c r="R72" s="9">
        <f t="shared" si="15"/>
        <v>57</v>
      </c>
      <c r="S72" s="9" t="s">
        <v>29</v>
      </c>
      <c r="T72" s="9">
        <f t="shared" ref="T72:Y72" si="16">SUM(T18:T71)</f>
        <v>213</v>
      </c>
      <c r="U72" s="9">
        <f t="shared" si="16"/>
        <v>302</v>
      </c>
      <c r="V72" s="9">
        <f t="shared" si="16"/>
        <v>312</v>
      </c>
      <c r="W72" s="9">
        <f t="shared" si="16"/>
        <v>352</v>
      </c>
      <c r="X72" s="9">
        <f t="shared" si="16"/>
        <v>368</v>
      </c>
      <c r="Y72" s="9">
        <f t="shared" si="16"/>
        <v>172</v>
      </c>
      <c r="Z72" s="9" t="s">
        <v>29</v>
      </c>
      <c r="AA72" s="9">
        <f t="shared" ref="AA72:AG72" si="17">SUM(AA18:AA71)</f>
        <v>294</v>
      </c>
      <c r="AB72" s="9">
        <f t="shared" si="17"/>
        <v>381</v>
      </c>
      <c r="AC72" s="9">
        <f t="shared" si="17"/>
        <v>221</v>
      </c>
      <c r="AD72" s="9">
        <f t="shared" si="17"/>
        <v>140</v>
      </c>
      <c r="AE72" s="9">
        <f t="shared" si="17"/>
        <v>138</v>
      </c>
      <c r="AF72" s="9">
        <f t="shared" si="17"/>
        <v>5384</v>
      </c>
      <c r="AG72" s="33">
        <f t="shared" si="17"/>
        <v>5384</v>
      </c>
    </row>
    <row r="74" spans="1:33" s="5" customFormat="1" ht="12" x14ac:dyDescent="0.25">
      <c r="D74" s="1" t="s">
        <v>10</v>
      </c>
      <c r="E74" s="109" t="s">
        <v>11</v>
      </c>
      <c r="F74" s="109"/>
      <c r="G74" s="6"/>
      <c r="H74" s="1" t="s">
        <v>9</v>
      </c>
      <c r="I74" s="109" t="s">
        <v>12</v>
      </c>
      <c r="J74" s="109"/>
      <c r="K74" s="6"/>
      <c r="L74" s="1" t="s">
        <v>13</v>
      </c>
      <c r="M74" s="109" t="s">
        <v>14</v>
      </c>
      <c r="N74" s="109"/>
      <c r="O74" s="109"/>
      <c r="P74" s="109"/>
      <c r="Q74" s="109"/>
      <c r="R74" s="6"/>
      <c r="S74" s="1" t="s">
        <v>15</v>
      </c>
      <c r="T74" s="109" t="s">
        <v>16</v>
      </c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</row>
  </sheetData>
  <mergeCells count="69">
    <mergeCell ref="T74:AG74"/>
    <mergeCell ref="B16:C17"/>
    <mergeCell ref="B36:B39"/>
    <mergeCell ref="B40:B41"/>
    <mergeCell ref="B24:B27"/>
    <mergeCell ref="B28:B29"/>
    <mergeCell ref="AG42:AG47"/>
    <mergeCell ref="B42:B45"/>
    <mergeCell ref="B46:B47"/>
    <mergeCell ref="B64:B65"/>
    <mergeCell ref="A72:C72"/>
    <mergeCell ref="E74:F74"/>
    <mergeCell ref="I74:J74"/>
    <mergeCell ref="M74:Q74"/>
    <mergeCell ref="A42:A47"/>
    <mergeCell ref="B54:B57"/>
    <mergeCell ref="B66:B69"/>
    <mergeCell ref="B70:B71"/>
    <mergeCell ref="B58:B59"/>
    <mergeCell ref="A48:A53"/>
    <mergeCell ref="AG48:AG53"/>
    <mergeCell ref="B60:B63"/>
    <mergeCell ref="A66:A71"/>
    <mergeCell ref="AG66:AG71"/>
    <mergeCell ref="B48:B51"/>
    <mergeCell ref="B52:B53"/>
    <mergeCell ref="A60:A65"/>
    <mergeCell ref="AG60:AG65"/>
    <mergeCell ref="A54:A59"/>
    <mergeCell ref="AG54:AG59"/>
    <mergeCell ref="A15:AG15"/>
    <mergeCell ref="A16:A17"/>
    <mergeCell ref="AF16:AF17"/>
    <mergeCell ref="AG16:AG17"/>
    <mergeCell ref="A36:A41"/>
    <mergeCell ref="AG36:AG41"/>
    <mergeCell ref="A24:A29"/>
    <mergeCell ref="AG24:AG29"/>
    <mergeCell ref="A30:A35"/>
    <mergeCell ref="AG30:AG35"/>
    <mergeCell ref="B30:B33"/>
    <mergeCell ref="B34:B35"/>
    <mergeCell ref="A18:A23"/>
    <mergeCell ref="AG18:AG23"/>
    <mergeCell ref="B18:B21"/>
    <mergeCell ref="B22:B23"/>
    <mergeCell ref="A13:C13"/>
    <mergeCell ref="AF13:AG13"/>
    <mergeCell ref="A12:C12"/>
    <mergeCell ref="AF12:AG12"/>
    <mergeCell ref="A9:C9"/>
    <mergeCell ref="AF9:AG9"/>
    <mergeCell ref="A10:C10"/>
    <mergeCell ref="AF10:AG10"/>
    <mergeCell ref="A11:C11"/>
    <mergeCell ref="AF11:AG11"/>
    <mergeCell ref="A7:C7"/>
    <mergeCell ref="AF7:AG7"/>
    <mergeCell ref="A8:C8"/>
    <mergeCell ref="AF8:AG8"/>
    <mergeCell ref="A6:C6"/>
    <mergeCell ref="AF6:AG6"/>
    <mergeCell ref="A1:AG1"/>
    <mergeCell ref="A2:C3"/>
    <mergeCell ref="AF2:AG3"/>
    <mergeCell ref="A5:C5"/>
    <mergeCell ref="AF5:AG5"/>
    <mergeCell ref="A4:C4"/>
    <mergeCell ref="AF4:AG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C612-510D-4AAE-AE2A-B909947A96B3}">
  <dimension ref="A1:AK75"/>
  <sheetViews>
    <sheetView topLeftCell="A43" zoomScale="130" zoomScaleNormal="130" workbookViewId="0">
      <selection activeCell="AI55" sqref="AI55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85546875" style="2" customWidth="1"/>
    <col min="5" max="5" width="3.42578125" style="2" bestFit="1" customWidth="1"/>
    <col min="6" max="6" width="5.28515625" style="2" customWidth="1"/>
    <col min="7" max="7" width="4" style="2" customWidth="1"/>
    <col min="8" max="9" width="4.85546875" style="2" customWidth="1"/>
    <col min="10" max="10" width="4" style="2" customWidth="1"/>
    <col min="11" max="11" width="4.140625" style="2" customWidth="1"/>
    <col min="12" max="12" width="3.28515625" style="2" bestFit="1" customWidth="1"/>
    <col min="13" max="14" width="4" style="2" customWidth="1"/>
    <col min="15" max="15" width="4" style="19" customWidth="1"/>
    <col min="16" max="18" width="4" style="2" customWidth="1"/>
    <col min="19" max="19" width="3.28515625" style="2" bestFit="1" customWidth="1"/>
    <col min="20" max="20" width="4.140625" style="2" customWidth="1"/>
    <col min="21" max="22" width="4" style="2" customWidth="1"/>
    <col min="23" max="24" width="4" style="2" bestFit="1" customWidth="1"/>
    <col min="25" max="25" width="4.140625" style="2" customWidth="1"/>
    <col min="26" max="26" width="3.28515625" style="2" bestFit="1" customWidth="1"/>
    <col min="27" max="27" width="5" style="2" customWidth="1"/>
    <col min="28" max="28" width="5" style="2" bestFit="1" customWidth="1"/>
    <col min="29" max="29" width="4.140625" style="2" bestFit="1" customWidth="1"/>
    <col min="30" max="30" width="4" style="2" bestFit="1" customWidth="1"/>
    <col min="31" max="31" width="4.140625" style="2" customWidth="1"/>
    <col min="32" max="32" width="4" style="2" bestFit="1" customWidth="1"/>
    <col min="33" max="33" width="3.28515625" style="2" bestFit="1" customWidth="1"/>
    <col min="34" max="34" width="5" style="2" bestFit="1" customWidth="1"/>
    <col min="35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37" ht="22.5" customHeight="1" thickBot="1" x14ac:dyDescent="0.3">
      <c r="A1" s="76" t="s">
        <v>53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37" ht="59.25" customHeight="1" x14ac:dyDescent="0.25">
      <c r="A2" s="77" t="s">
        <v>0</v>
      </c>
      <c r="B2" s="112"/>
      <c r="C2" s="78"/>
      <c r="D2" s="11">
        <v>45717</v>
      </c>
      <c r="E2" s="11">
        <v>45718</v>
      </c>
      <c r="F2" s="11">
        <v>45719</v>
      </c>
      <c r="G2" s="11">
        <v>45720</v>
      </c>
      <c r="H2" s="11">
        <v>45721</v>
      </c>
      <c r="I2" s="11">
        <v>45722</v>
      </c>
      <c r="J2" s="11">
        <v>45723</v>
      </c>
      <c r="K2" s="11">
        <v>45724</v>
      </c>
      <c r="L2" s="11">
        <v>45725</v>
      </c>
      <c r="M2" s="11">
        <v>45726</v>
      </c>
      <c r="N2" s="11">
        <v>45727</v>
      </c>
      <c r="O2" s="11">
        <v>45728</v>
      </c>
      <c r="P2" s="11">
        <v>45729</v>
      </c>
      <c r="Q2" s="11">
        <v>45730</v>
      </c>
      <c r="R2" s="11">
        <v>45731</v>
      </c>
      <c r="S2" s="11">
        <v>45732</v>
      </c>
      <c r="T2" s="11">
        <v>45733</v>
      </c>
      <c r="U2" s="11">
        <v>45734</v>
      </c>
      <c r="V2" s="11">
        <v>45735</v>
      </c>
      <c r="W2" s="11">
        <v>45736</v>
      </c>
      <c r="X2" s="11">
        <v>45737</v>
      </c>
      <c r="Y2" s="11">
        <v>45738</v>
      </c>
      <c r="Z2" s="11">
        <v>45739</v>
      </c>
      <c r="AA2" s="11">
        <v>45740</v>
      </c>
      <c r="AB2" s="11">
        <v>45741</v>
      </c>
      <c r="AC2" s="11">
        <v>45742</v>
      </c>
      <c r="AD2" s="11">
        <v>45743</v>
      </c>
      <c r="AE2" s="11">
        <v>45744</v>
      </c>
      <c r="AF2" s="11">
        <v>45745</v>
      </c>
      <c r="AG2" s="11">
        <v>45746</v>
      </c>
      <c r="AH2" s="11">
        <v>45747</v>
      </c>
      <c r="AI2" s="81" t="s">
        <v>1</v>
      </c>
      <c r="AJ2" s="82"/>
    </row>
    <row r="3" spans="1:37" ht="71.25" customHeight="1" x14ac:dyDescent="0.25">
      <c r="A3" s="79"/>
      <c r="B3" s="113"/>
      <c r="C3" s="80"/>
      <c r="D3" s="12" t="s">
        <v>8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2</v>
      </c>
      <c r="M3" s="12" t="s">
        <v>3</v>
      </c>
      <c r="N3" s="12" t="s">
        <v>4</v>
      </c>
      <c r="O3" s="12" t="s">
        <v>5</v>
      </c>
      <c r="P3" s="12" t="s">
        <v>6</v>
      </c>
      <c r="Q3" s="12" t="s">
        <v>7</v>
      </c>
      <c r="R3" s="12" t="s">
        <v>8</v>
      </c>
      <c r="S3" s="12" t="s">
        <v>2</v>
      </c>
      <c r="T3" s="12" t="s">
        <v>3</v>
      </c>
      <c r="U3" s="12" t="s">
        <v>4</v>
      </c>
      <c r="V3" s="12" t="s">
        <v>5</v>
      </c>
      <c r="W3" s="12" t="s">
        <v>6</v>
      </c>
      <c r="X3" s="12" t="s">
        <v>7</v>
      </c>
      <c r="Y3" s="12" t="s">
        <v>8</v>
      </c>
      <c r="Z3" s="12" t="s">
        <v>2</v>
      </c>
      <c r="AA3" s="12" t="s">
        <v>3</v>
      </c>
      <c r="AB3" s="12" t="s">
        <v>4</v>
      </c>
      <c r="AC3" s="12" t="s">
        <v>5</v>
      </c>
      <c r="AD3" s="12" t="s">
        <v>6</v>
      </c>
      <c r="AE3" s="12" t="s">
        <v>7</v>
      </c>
      <c r="AF3" s="12" t="s">
        <v>8</v>
      </c>
      <c r="AG3" s="12" t="s">
        <v>2</v>
      </c>
      <c r="AH3" s="12" t="s">
        <v>3</v>
      </c>
      <c r="AI3" s="83"/>
      <c r="AJ3" s="84"/>
    </row>
    <row r="4" spans="1:37" x14ac:dyDescent="0.25">
      <c r="A4" s="72" t="s">
        <v>38</v>
      </c>
      <c r="B4" s="114"/>
      <c r="C4" s="73"/>
      <c r="D4" s="3">
        <v>44</v>
      </c>
      <c r="E4" s="13" t="s">
        <v>9</v>
      </c>
      <c r="F4" s="13">
        <v>144</v>
      </c>
      <c r="G4" s="13" t="s">
        <v>9</v>
      </c>
      <c r="H4" s="13">
        <v>205</v>
      </c>
      <c r="I4" s="13">
        <v>203</v>
      </c>
      <c r="J4" s="13">
        <v>73</v>
      </c>
      <c r="K4" s="13">
        <v>59</v>
      </c>
      <c r="L4" s="13" t="s">
        <v>9</v>
      </c>
      <c r="M4" s="3">
        <v>45</v>
      </c>
      <c r="N4" s="13">
        <v>55</v>
      </c>
      <c r="O4" s="18">
        <v>104</v>
      </c>
      <c r="P4" s="18">
        <v>104</v>
      </c>
      <c r="Q4" s="18">
        <v>76</v>
      </c>
      <c r="R4" s="18" t="s">
        <v>9</v>
      </c>
      <c r="S4" s="13" t="s">
        <v>9</v>
      </c>
      <c r="T4" s="18">
        <v>75</v>
      </c>
      <c r="U4" s="13">
        <v>132</v>
      </c>
      <c r="V4" s="17">
        <v>101</v>
      </c>
      <c r="W4" s="13">
        <v>77</v>
      </c>
      <c r="X4" s="3">
        <v>40</v>
      </c>
      <c r="Y4" s="3" t="s">
        <v>9</v>
      </c>
      <c r="Z4" s="13" t="s">
        <v>9</v>
      </c>
      <c r="AA4" s="13">
        <v>199</v>
      </c>
      <c r="AB4" s="13">
        <v>146</v>
      </c>
      <c r="AC4" s="13">
        <v>203</v>
      </c>
      <c r="AD4" s="13">
        <v>72</v>
      </c>
      <c r="AE4" s="13">
        <v>38</v>
      </c>
      <c r="AF4" s="17">
        <v>47</v>
      </c>
      <c r="AG4" s="13" t="s">
        <v>9</v>
      </c>
      <c r="AH4" s="3">
        <v>225</v>
      </c>
      <c r="AI4" s="74">
        <f>SUM(D4:AH4)</f>
        <v>2467</v>
      </c>
      <c r="AJ4" s="75"/>
    </row>
    <row r="5" spans="1:37" x14ac:dyDescent="0.25">
      <c r="A5" s="72" t="s">
        <v>32</v>
      </c>
      <c r="B5" s="114"/>
      <c r="C5" s="73"/>
      <c r="D5" s="3">
        <v>31</v>
      </c>
      <c r="E5" s="3" t="s">
        <v>9</v>
      </c>
      <c r="F5" s="13">
        <v>191</v>
      </c>
      <c r="G5" s="13" t="s">
        <v>9</v>
      </c>
      <c r="H5" s="3">
        <v>182</v>
      </c>
      <c r="I5" s="13">
        <v>181</v>
      </c>
      <c r="J5" s="3">
        <v>158</v>
      </c>
      <c r="K5" s="13" t="s">
        <v>9</v>
      </c>
      <c r="L5" s="3" t="s">
        <v>9</v>
      </c>
      <c r="M5" s="3">
        <v>10</v>
      </c>
      <c r="N5" s="13">
        <v>14</v>
      </c>
      <c r="O5" s="17">
        <v>111</v>
      </c>
      <c r="P5" s="17">
        <v>86</v>
      </c>
      <c r="Q5" s="3">
        <v>48</v>
      </c>
      <c r="R5" s="17">
        <v>58</v>
      </c>
      <c r="S5" s="3" t="s">
        <v>9</v>
      </c>
      <c r="T5" s="13">
        <v>78</v>
      </c>
      <c r="U5" s="13">
        <v>126</v>
      </c>
      <c r="V5" s="17">
        <v>143</v>
      </c>
      <c r="W5" s="17">
        <v>76</v>
      </c>
      <c r="X5" s="3">
        <v>39</v>
      </c>
      <c r="Y5" s="3" t="s">
        <v>9</v>
      </c>
      <c r="Z5" s="3" t="s">
        <v>9</v>
      </c>
      <c r="AA5" s="13">
        <v>155</v>
      </c>
      <c r="AB5" s="13">
        <v>134</v>
      </c>
      <c r="AC5" s="13">
        <v>186</v>
      </c>
      <c r="AD5" s="13">
        <v>125</v>
      </c>
      <c r="AE5" s="13">
        <v>96</v>
      </c>
      <c r="AF5" s="17">
        <v>70</v>
      </c>
      <c r="AG5" s="3" t="s">
        <v>9</v>
      </c>
      <c r="AH5" s="13">
        <v>184</v>
      </c>
      <c r="AI5" s="74">
        <f>SUM(D5:AH5)</f>
        <v>2482</v>
      </c>
      <c r="AJ5" s="75"/>
    </row>
    <row r="6" spans="1:37" x14ac:dyDescent="0.25">
      <c r="A6" s="72" t="s">
        <v>39</v>
      </c>
      <c r="B6" s="114"/>
      <c r="C6" s="73"/>
      <c r="D6" s="3" t="s">
        <v>9</v>
      </c>
      <c r="E6" s="13" t="s">
        <v>9</v>
      </c>
      <c r="F6" s="3" t="s">
        <v>9</v>
      </c>
      <c r="G6" s="3" t="s">
        <v>9</v>
      </c>
      <c r="H6" s="13">
        <v>143</v>
      </c>
      <c r="I6" s="13">
        <v>225</v>
      </c>
      <c r="J6" s="3">
        <v>172</v>
      </c>
      <c r="K6" s="13" t="s">
        <v>9</v>
      </c>
      <c r="L6" s="13" t="s">
        <v>9</v>
      </c>
      <c r="M6" s="3">
        <v>69</v>
      </c>
      <c r="N6" s="13">
        <v>43</v>
      </c>
      <c r="O6" s="18">
        <v>85</v>
      </c>
      <c r="P6" s="18">
        <v>46</v>
      </c>
      <c r="Q6" s="13">
        <v>40</v>
      </c>
      <c r="R6" s="3" t="s">
        <v>9</v>
      </c>
      <c r="S6" s="13" t="s">
        <v>9</v>
      </c>
      <c r="T6" s="13">
        <v>63</v>
      </c>
      <c r="U6" s="13">
        <v>171</v>
      </c>
      <c r="V6" s="17">
        <v>111</v>
      </c>
      <c r="W6" s="13">
        <v>86</v>
      </c>
      <c r="X6" s="3">
        <v>26</v>
      </c>
      <c r="Y6" s="3" t="s">
        <v>9</v>
      </c>
      <c r="Z6" s="13" t="s">
        <v>9</v>
      </c>
      <c r="AA6" s="13">
        <v>253</v>
      </c>
      <c r="AB6" s="13">
        <v>280</v>
      </c>
      <c r="AC6" s="13">
        <v>109</v>
      </c>
      <c r="AD6" s="13">
        <v>70</v>
      </c>
      <c r="AE6" s="13">
        <v>59</v>
      </c>
      <c r="AF6" s="17" t="s">
        <v>9</v>
      </c>
      <c r="AG6" s="13" t="s">
        <v>9</v>
      </c>
      <c r="AH6" s="3">
        <v>242</v>
      </c>
      <c r="AI6" s="74">
        <f>SUM(D6:AH6)</f>
        <v>2293</v>
      </c>
      <c r="AJ6" s="75"/>
    </row>
    <row r="7" spans="1:37" x14ac:dyDescent="0.25">
      <c r="A7" s="72" t="s">
        <v>34</v>
      </c>
      <c r="B7" s="114"/>
      <c r="C7" s="73"/>
      <c r="D7" s="3" t="s">
        <v>9</v>
      </c>
      <c r="E7" s="3" t="s">
        <v>9</v>
      </c>
      <c r="F7" s="3">
        <v>152</v>
      </c>
      <c r="G7" s="3">
        <v>12</v>
      </c>
      <c r="H7" s="3">
        <v>135</v>
      </c>
      <c r="I7" s="13">
        <v>117</v>
      </c>
      <c r="J7" s="3">
        <v>72</v>
      </c>
      <c r="K7" s="13">
        <v>54</v>
      </c>
      <c r="L7" s="3" t="s">
        <v>9</v>
      </c>
      <c r="M7" s="3">
        <v>25</v>
      </c>
      <c r="N7" s="3">
        <v>15</v>
      </c>
      <c r="O7" s="17">
        <v>38</v>
      </c>
      <c r="P7" s="17">
        <v>68</v>
      </c>
      <c r="Q7" s="3">
        <v>54</v>
      </c>
      <c r="R7" s="3" t="s">
        <v>9</v>
      </c>
      <c r="S7" s="3" t="s">
        <v>9</v>
      </c>
      <c r="T7" s="3">
        <v>51</v>
      </c>
      <c r="U7" s="13">
        <v>88</v>
      </c>
      <c r="V7" s="17">
        <v>75</v>
      </c>
      <c r="W7" s="3">
        <v>81</v>
      </c>
      <c r="X7" s="3">
        <v>41</v>
      </c>
      <c r="Y7" s="3">
        <v>43</v>
      </c>
      <c r="Z7" s="3" t="s">
        <v>9</v>
      </c>
      <c r="AA7" s="3">
        <v>198</v>
      </c>
      <c r="AB7" s="3">
        <v>238</v>
      </c>
      <c r="AC7" s="3">
        <v>173</v>
      </c>
      <c r="AD7" s="3">
        <v>126</v>
      </c>
      <c r="AE7" s="3">
        <v>38</v>
      </c>
      <c r="AF7" s="17" t="s">
        <v>9</v>
      </c>
      <c r="AG7" s="3" t="s">
        <v>9</v>
      </c>
      <c r="AH7" s="3">
        <v>129</v>
      </c>
      <c r="AI7" s="74">
        <f>SUM(D7:AH7)</f>
        <v>2023</v>
      </c>
      <c r="AJ7" s="75"/>
    </row>
    <row r="8" spans="1:37" x14ac:dyDescent="0.25">
      <c r="A8" s="72" t="s">
        <v>23</v>
      </c>
      <c r="B8" s="114"/>
      <c r="C8" s="73"/>
      <c r="D8" s="3" t="s">
        <v>9</v>
      </c>
      <c r="E8" s="13" t="s">
        <v>9</v>
      </c>
      <c r="F8" s="13">
        <v>166</v>
      </c>
      <c r="G8" s="3" t="s">
        <v>9</v>
      </c>
      <c r="H8" s="13">
        <v>196</v>
      </c>
      <c r="I8" s="3">
        <v>154</v>
      </c>
      <c r="J8" s="3">
        <v>106</v>
      </c>
      <c r="K8" s="3">
        <v>13</v>
      </c>
      <c r="L8" s="13" t="s">
        <v>9</v>
      </c>
      <c r="M8" s="3">
        <v>50</v>
      </c>
      <c r="N8" s="13">
        <v>36</v>
      </c>
      <c r="O8" s="18">
        <v>59</v>
      </c>
      <c r="P8" s="18">
        <v>35</v>
      </c>
      <c r="Q8" s="13">
        <v>25</v>
      </c>
      <c r="R8" s="13" t="s">
        <v>9</v>
      </c>
      <c r="S8" s="13" t="s">
        <v>9</v>
      </c>
      <c r="T8" s="18">
        <v>57</v>
      </c>
      <c r="U8" s="13">
        <v>66</v>
      </c>
      <c r="V8" s="17">
        <v>54</v>
      </c>
      <c r="W8" s="13" t="s">
        <v>55</v>
      </c>
      <c r="X8" s="3">
        <v>43</v>
      </c>
      <c r="Y8" s="18">
        <v>52</v>
      </c>
      <c r="Z8" s="13" t="s">
        <v>9</v>
      </c>
      <c r="AA8" s="13">
        <v>133</v>
      </c>
      <c r="AB8" s="13" t="s">
        <v>30</v>
      </c>
      <c r="AC8" s="13" t="s">
        <v>30</v>
      </c>
      <c r="AD8" s="13" t="s">
        <v>30</v>
      </c>
      <c r="AE8" s="13" t="s">
        <v>30</v>
      </c>
      <c r="AF8" s="17" t="s">
        <v>9</v>
      </c>
      <c r="AG8" s="13" t="s">
        <v>9</v>
      </c>
      <c r="AH8" s="13">
        <v>35</v>
      </c>
      <c r="AI8" s="74">
        <f t="shared" ref="AI8" si="0">SUM(D8:AH8)</f>
        <v>1280</v>
      </c>
      <c r="AJ8" s="75"/>
    </row>
    <row r="9" spans="1:37" x14ac:dyDescent="0.25">
      <c r="A9" s="72" t="s">
        <v>35</v>
      </c>
      <c r="B9" s="114"/>
      <c r="C9" s="73"/>
      <c r="D9" s="3" t="s">
        <v>9</v>
      </c>
      <c r="E9" s="3" t="s">
        <v>9</v>
      </c>
      <c r="F9" s="3">
        <v>168</v>
      </c>
      <c r="G9" s="3">
        <v>29</v>
      </c>
      <c r="H9" s="3">
        <v>186</v>
      </c>
      <c r="I9" s="13">
        <v>114</v>
      </c>
      <c r="J9" s="3">
        <v>64</v>
      </c>
      <c r="K9" s="3" t="s">
        <v>9</v>
      </c>
      <c r="L9" s="3" t="s">
        <v>9</v>
      </c>
      <c r="M9" s="3">
        <v>46</v>
      </c>
      <c r="N9" s="3">
        <v>28</v>
      </c>
      <c r="O9" s="17">
        <v>60</v>
      </c>
      <c r="P9" s="17">
        <v>31</v>
      </c>
      <c r="Q9" s="3">
        <v>43</v>
      </c>
      <c r="R9" s="3" t="s">
        <v>9</v>
      </c>
      <c r="S9" s="3" t="s">
        <v>9</v>
      </c>
      <c r="T9" s="3">
        <v>47</v>
      </c>
      <c r="U9" s="3">
        <v>79</v>
      </c>
      <c r="V9" s="17">
        <v>84</v>
      </c>
      <c r="W9" s="3">
        <v>66</v>
      </c>
      <c r="X9" s="3">
        <v>25</v>
      </c>
      <c r="Y9" s="3" t="s">
        <v>9</v>
      </c>
      <c r="Z9" s="3" t="s">
        <v>9</v>
      </c>
      <c r="AA9" s="3">
        <v>129</v>
      </c>
      <c r="AB9" s="3">
        <v>140</v>
      </c>
      <c r="AC9" s="3">
        <v>124</v>
      </c>
      <c r="AD9" s="3">
        <v>43</v>
      </c>
      <c r="AE9" s="3">
        <v>35</v>
      </c>
      <c r="AF9" s="17" t="s">
        <v>9</v>
      </c>
      <c r="AG9" s="3" t="s">
        <v>9</v>
      </c>
      <c r="AH9" s="3">
        <v>144</v>
      </c>
      <c r="AI9" s="74">
        <f>SUM(D9:AH9)</f>
        <v>1685</v>
      </c>
      <c r="AJ9" s="75"/>
    </row>
    <row r="10" spans="1:37" x14ac:dyDescent="0.25">
      <c r="A10" s="72" t="s">
        <v>33</v>
      </c>
      <c r="B10" s="114"/>
      <c r="C10" s="73"/>
      <c r="D10" s="3" t="s">
        <v>9</v>
      </c>
      <c r="E10" s="3" t="s">
        <v>9</v>
      </c>
      <c r="F10" s="3">
        <v>163</v>
      </c>
      <c r="G10" s="3" t="s">
        <v>9</v>
      </c>
      <c r="H10" s="3" t="s">
        <v>9</v>
      </c>
      <c r="I10" s="3">
        <v>145</v>
      </c>
      <c r="J10" s="3">
        <v>76</v>
      </c>
      <c r="K10" s="13">
        <v>22</v>
      </c>
      <c r="L10" s="3" t="s">
        <v>9</v>
      </c>
      <c r="M10" s="3">
        <v>16</v>
      </c>
      <c r="N10" s="3">
        <v>11</v>
      </c>
      <c r="O10" s="17">
        <v>51</v>
      </c>
      <c r="P10" s="17">
        <v>19</v>
      </c>
      <c r="Q10" s="18">
        <v>14</v>
      </c>
      <c r="R10" s="18" t="s">
        <v>9</v>
      </c>
      <c r="S10" s="3" t="s">
        <v>9</v>
      </c>
      <c r="T10" s="3">
        <v>27</v>
      </c>
      <c r="U10" s="13">
        <v>71</v>
      </c>
      <c r="V10" s="17">
        <v>42</v>
      </c>
      <c r="W10" s="3">
        <v>41</v>
      </c>
      <c r="X10" s="3">
        <v>10</v>
      </c>
      <c r="Y10" s="3">
        <v>27</v>
      </c>
      <c r="Z10" s="3" t="s">
        <v>9</v>
      </c>
      <c r="AA10" s="3">
        <v>147</v>
      </c>
      <c r="AB10" s="3">
        <v>89</v>
      </c>
      <c r="AC10" s="3">
        <v>51</v>
      </c>
      <c r="AD10" s="3">
        <v>4</v>
      </c>
      <c r="AE10" s="3">
        <v>4</v>
      </c>
      <c r="AF10" s="17" t="s">
        <v>9</v>
      </c>
      <c r="AG10" s="3" t="s">
        <v>9</v>
      </c>
      <c r="AH10" s="3" t="s">
        <v>9</v>
      </c>
      <c r="AI10" s="74">
        <f>SUM(D10:AH10)</f>
        <v>1030</v>
      </c>
      <c r="AJ10" s="75"/>
    </row>
    <row r="11" spans="1:37" x14ac:dyDescent="0.25">
      <c r="A11" s="72" t="s">
        <v>36</v>
      </c>
      <c r="B11" s="114"/>
      <c r="C11" s="73"/>
      <c r="D11" s="3">
        <v>128</v>
      </c>
      <c r="E11" s="3" t="s">
        <v>9</v>
      </c>
      <c r="F11" s="3">
        <v>208</v>
      </c>
      <c r="G11" s="3" t="s">
        <v>9</v>
      </c>
      <c r="H11" s="3">
        <v>95</v>
      </c>
      <c r="I11" s="3">
        <v>96</v>
      </c>
      <c r="J11" s="2">
        <v>104</v>
      </c>
      <c r="K11" s="3" t="s">
        <v>9</v>
      </c>
      <c r="L11" s="3" t="s">
        <v>9</v>
      </c>
      <c r="M11" s="3">
        <v>74</v>
      </c>
      <c r="N11" s="3">
        <v>7</v>
      </c>
      <c r="O11" s="17">
        <v>20</v>
      </c>
      <c r="P11" s="17">
        <v>26</v>
      </c>
      <c r="Q11" s="3">
        <v>10</v>
      </c>
      <c r="R11" s="3">
        <v>20</v>
      </c>
      <c r="S11" s="3" t="s">
        <v>9</v>
      </c>
      <c r="T11" s="3" t="s">
        <v>9</v>
      </c>
      <c r="U11" s="3">
        <v>3</v>
      </c>
      <c r="V11" s="17" t="s">
        <v>30</v>
      </c>
      <c r="W11" s="3" t="s">
        <v>30</v>
      </c>
      <c r="X11" s="3">
        <v>13</v>
      </c>
      <c r="Y11" s="3" t="s">
        <v>9</v>
      </c>
      <c r="Z11" s="3" t="s">
        <v>9</v>
      </c>
      <c r="AA11" s="3" t="s">
        <v>30</v>
      </c>
      <c r="AB11" s="3" t="s">
        <v>30</v>
      </c>
      <c r="AC11" s="3">
        <v>13</v>
      </c>
      <c r="AD11" s="3">
        <v>25</v>
      </c>
      <c r="AE11" s="3">
        <v>40</v>
      </c>
      <c r="AF11" s="17">
        <v>59</v>
      </c>
      <c r="AG11" s="3" t="s">
        <v>9</v>
      </c>
      <c r="AH11" s="3">
        <v>11</v>
      </c>
      <c r="AI11" s="74">
        <f>SUM(D11:AH11)</f>
        <v>952</v>
      </c>
      <c r="AJ11" s="75"/>
    </row>
    <row r="12" spans="1:37" x14ac:dyDescent="0.25">
      <c r="A12" s="72" t="s">
        <v>22</v>
      </c>
      <c r="B12" s="114"/>
      <c r="C12" s="73"/>
      <c r="D12" s="3" t="s">
        <v>9</v>
      </c>
      <c r="E12" s="3" t="s">
        <v>9</v>
      </c>
      <c r="F12" s="3">
        <v>126</v>
      </c>
      <c r="G12" s="3" t="s">
        <v>9</v>
      </c>
      <c r="H12" s="3">
        <v>198</v>
      </c>
      <c r="I12" s="13">
        <v>126</v>
      </c>
      <c r="J12" s="3">
        <v>51</v>
      </c>
      <c r="K12" s="3">
        <v>3</v>
      </c>
      <c r="L12" s="3" t="s">
        <v>9</v>
      </c>
      <c r="M12" s="3">
        <v>17</v>
      </c>
      <c r="N12" s="3">
        <v>13</v>
      </c>
      <c r="O12" s="17">
        <v>27</v>
      </c>
      <c r="P12" s="17">
        <v>38</v>
      </c>
      <c r="Q12" s="13">
        <v>2</v>
      </c>
      <c r="R12" s="13" t="s">
        <v>9</v>
      </c>
      <c r="S12" s="3" t="s">
        <v>9</v>
      </c>
      <c r="T12" s="3">
        <v>2</v>
      </c>
      <c r="U12" s="3">
        <v>48</v>
      </c>
      <c r="V12" s="17">
        <v>53</v>
      </c>
      <c r="W12" s="3">
        <v>17</v>
      </c>
      <c r="X12" s="3">
        <v>5</v>
      </c>
      <c r="Y12" s="3">
        <v>8</v>
      </c>
      <c r="Z12" s="3" t="s">
        <v>9</v>
      </c>
      <c r="AA12" s="3">
        <v>3</v>
      </c>
      <c r="AB12" s="3">
        <v>6</v>
      </c>
      <c r="AC12" s="3">
        <v>2</v>
      </c>
      <c r="AD12" s="3">
        <v>5</v>
      </c>
      <c r="AE12" s="3">
        <v>1</v>
      </c>
      <c r="AF12" s="17" t="s">
        <v>9</v>
      </c>
      <c r="AG12" s="3" t="s">
        <v>9</v>
      </c>
      <c r="AH12" s="3">
        <v>99</v>
      </c>
      <c r="AI12" s="74">
        <f t="shared" ref="AI12" si="1">SUM(D12:AH12)</f>
        <v>850</v>
      </c>
      <c r="AJ12" s="75"/>
    </row>
    <row r="13" spans="1:37" ht="13.5" thickBot="1" x14ac:dyDescent="0.3">
      <c r="A13" s="92" t="s">
        <v>1</v>
      </c>
      <c r="B13" s="115"/>
      <c r="C13" s="93"/>
      <c r="D13" s="10">
        <f>SUM(D4:D12)</f>
        <v>203</v>
      </c>
      <c r="E13" s="10" t="s">
        <v>29</v>
      </c>
      <c r="F13" s="10">
        <f t="shared" ref="F13:K13" si="2">SUM(F4:F12)</f>
        <v>1318</v>
      </c>
      <c r="G13" s="10">
        <f t="shared" si="2"/>
        <v>41</v>
      </c>
      <c r="H13" s="10">
        <f t="shared" si="2"/>
        <v>1340</v>
      </c>
      <c r="I13" s="10">
        <f t="shared" si="2"/>
        <v>1361</v>
      </c>
      <c r="J13" s="10">
        <f t="shared" si="2"/>
        <v>876</v>
      </c>
      <c r="K13" s="10">
        <f t="shared" si="2"/>
        <v>151</v>
      </c>
      <c r="L13" s="10" t="s">
        <v>29</v>
      </c>
      <c r="M13" s="10">
        <f t="shared" ref="M13:R13" si="3">SUM(M4:M12)</f>
        <v>352</v>
      </c>
      <c r="N13" s="10">
        <f t="shared" si="3"/>
        <v>222</v>
      </c>
      <c r="O13" s="10">
        <f t="shared" si="3"/>
        <v>555</v>
      </c>
      <c r="P13" s="10">
        <f t="shared" si="3"/>
        <v>453</v>
      </c>
      <c r="Q13" s="10">
        <f t="shared" si="3"/>
        <v>312</v>
      </c>
      <c r="R13" s="10">
        <f t="shared" si="3"/>
        <v>78</v>
      </c>
      <c r="S13" s="10" t="s">
        <v>29</v>
      </c>
      <c r="T13" s="10">
        <f t="shared" ref="T13:Y13" si="4">SUM(T4:T12)</f>
        <v>400</v>
      </c>
      <c r="U13" s="10">
        <f t="shared" si="4"/>
        <v>784</v>
      </c>
      <c r="V13" s="10">
        <f t="shared" si="4"/>
        <v>663</v>
      </c>
      <c r="W13" s="10">
        <f t="shared" si="4"/>
        <v>444</v>
      </c>
      <c r="X13" s="10">
        <f t="shared" si="4"/>
        <v>242</v>
      </c>
      <c r="Y13" s="10">
        <f t="shared" si="4"/>
        <v>130</v>
      </c>
      <c r="Z13" s="10" t="s">
        <v>29</v>
      </c>
      <c r="AA13" s="10">
        <f t="shared" ref="AA13:AF13" si="5">SUM(AA4:AA12)</f>
        <v>1217</v>
      </c>
      <c r="AB13" s="10">
        <f t="shared" si="5"/>
        <v>1033</v>
      </c>
      <c r="AC13" s="10">
        <f t="shared" si="5"/>
        <v>861</v>
      </c>
      <c r="AD13" s="10">
        <f t="shared" si="5"/>
        <v>470</v>
      </c>
      <c r="AE13" s="10">
        <f t="shared" si="5"/>
        <v>311</v>
      </c>
      <c r="AF13" s="10">
        <f t="shared" si="5"/>
        <v>176</v>
      </c>
      <c r="AG13" s="10" t="s">
        <v>29</v>
      </c>
      <c r="AH13" s="10">
        <f>SUM(AH4:AH12)</f>
        <v>1069</v>
      </c>
      <c r="AI13" s="116">
        <f>SUM(D13:AH13)</f>
        <v>15062</v>
      </c>
      <c r="AJ13" s="117"/>
      <c r="AK13" s="4"/>
    </row>
    <row r="14" spans="1:37" ht="13.5" thickBot="1" x14ac:dyDescent="0.3"/>
    <row r="15" spans="1:37" ht="22.5" customHeight="1" thickBot="1" x14ac:dyDescent="0.3">
      <c r="A15" s="96" t="s">
        <v>54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7" ht="57" customHeight="1" thickBot="1" x14ac:dyDescent="0.3">
      <c r="A16" s="97" t="s">
        <v>0</v>
      </c>
      <c r="B16" s="132" t="s">
        <v>17</v>
      </c>
      <c r="C16" s="133"/>
      <c r="D16" s="11">
        <v>45717</v>
      </c>
      <c r="E16" s="11">
        <v>45718</v>
      </c>
      <c r="F16" s="11">
        <v>45719</v>
      </c>
      <c r="G16" s="11">
        <v>45720</v>
      </c>
      <c r="H16" s="11">
        <v>45721</v>
      </c>
      <c r="I16" s="11">
        <v>45722</v>
      </c>
      <c r="J16" s="11">
        <v>45723</v>
      </c>
      <c r="K16" s="11">
        <v>45724</v>
      </c>
      <c r="L16" s="11">
        <v>45725</v>
      </c>
      <c r="M16" s="11">
        <v>45726</v>
      </c>
      <c r="N16" s="11">
        <v>45727</v>
      </c>
      <c r="O16" s="11">
        <v>45728</v>
      </c>
      <c r="P16" s="11">
        <v>45729</v>
      </c>
      <c r="Q16" s="11">
        <v>45730</v>
      </c>
      <c r="R16" s="11">
        <v>45731</v>
      </c>
      <c r="S16" s="11">
        <v>45732</v>
      </c>
      <c r="T16" s="11">
        <v>45733</v>
      </c>
      <c r="U16" s="11">
        <v>45734</v>
      </c>
      <c r="V16" s="11">
        <v>45735</v>
      </c>
      <c r="W16" s="11">
        <v>45736</v>
      </c>
      <c r="X16" s="11">
        <v>45737</v>
      </c>
      <c r="Y16" s="11">
        <v>45738</v>
      </c>
      <c r="Z16" s="11">
        <v>45739</v>
      </c>
      <c r="AA16" s="11">
        <v>45740</v>
      </c>
      <c r="AB16" s="11">
        <v>45741</v>
      </c>
      <c r="AC16" s="11">
        <v>45742</v>
      </c>
      <c r="AD16" s="11">
        <v>45743</v>
      </c>
      <c r="AE16" s="11">
        <v>45744</v>
      </c>
      <c r="AF16" s="11">
        <v>45745</v>
      </c>
      <c r="AG16" s="11">
        <v>45746</v>
      </c>
      <c r="AH16" s="11">
        <v>45747</v>
      </c>
      <c r="AI16" s="101" t="s">
        <v>28</v>
      </c>
      <c r="AJ16" s="103" t="s">
        <v>27</v>
      </c>
    </row>
    <row r="17" spans="1:36" ht="70.5" customHeight="1" thickBot="1" x14ac:dyDescent="0.3">
      <c r="A17" s="98"/>
      <c r="B17" s="134"/>
      <c r="C17" s="135"/>
      <c r="D17" s="16" t="s">
        <v>8</v>
      </c>
      <c r="E17" s="16" t="s">
        <v>2</v>
      </c>
      <c r="F17" s="16" t="s">
        <v>3</v>
      </c>
      <c r="G17" s="16" t="s">
        <v>4</v>
      </c>
      <c r="H17" s="16" t="s">
        <v>5</v>
      </c>
      <c r="I17" s="16" t="s">
        <v>6</v>
      </c>
      <c r="J17" s="16" t="s">
        <v>7</v>
      </c>
      <c r="K17" s="16" t="s">
        <v>8</v>
      </c>
      <c r="L17" s="16" t="s">
        <v>2</v>
      </c>
      <c r="M17" s="16" t="s">
        <v>3</v>
      </c>
      <c r="N17" s="16" t="s">
        <v>4</v>
      </c>
      <c r="O17" s="16" t="s">
        <v>5</v>
      </c>
      <c r="P17" s="16" t="s">
        <v>6</v>
      </c>
      <c r="Q17" s="16" t="s">
        <v>7</v>
      </c>
      <c r="R17" s="16" t="s">
        <v>8</v>
      </c>
      <c r="S17" s="16" t="s">
        <v>2</v>
      </c>
      <c r="T17" s="16" t="s">
        <v>3</v>
      </c>
      <c r="U17" s="16" t="s">
        <v>4</v>
      </c>
      <c r="V17" s="16" t="s">
        <v>5</v>
      </c>
      <c r="W17" s="16" t="s">
        <v>6</v>
      </c>
      <c r="X17" s="16" t="s">
        <v>7</v>
      </c>
      <c r="Y17" s="16" t="s">
        <v>8</v>
      </c>
      <c r="Z17" s="16" t="s">
        <v>2</v>
      </c>
      <c r="AA17" s="16" t="s">
        <v>3</v>
      </c>
      <c r="AB17" s="16" t="s">
        <v>4</v>
      </c>
      <c r="AC17" s="16" t="s">
        <v>5</v>
      </c>
      <c r="AD17" s="16" t="s">
        <v>6</v>
      </c>
      <c r="AE17" s="16" t="s">
        <v>7</v>
      </c>
      <c r="AF17" s="16" t="s">
        <v>8</v>
      </c>
      <c r="AG17" s="16" t="s">
        <v>2</v>
      </c>
      <c r="AH17" s="16" t="s">
        <v>3</v>
      </c>
      <c r="AI17" s="102"/>
      <c r="AJ17" s="104"/>
    </row>
    <row r="18" spans="1:36" x14ac:dyDescent="0.25">
      <c r="A18" s="106" t="s">
        <v>35</v>
      </c>
      <c r="B18" s="124" t="s">
        <v>18</v>
      </c>
      <c r="C18" s="29" t="s">
        <v>48</v>
      </c>
      <c r="D18" s="7" t="s">
        <v>9</v>
      </c>
      <c r="E18" s="7" t="s">
        <v>9</v>
      </c>
      <c r="F18" s="7">
        <v>9</v>
      </c>
      <c r="G18" s="7">
        <v>2</v>
      </c>
      <c r="H18" s="7">
        <v>51</v>
      </c>
      <c r="I18" s="7">
        <v>34</v>
      </c>
      <c r="J18" s="7">
        <v>16</v>
      </c>
      <c r="K18" s="7" t="s">
        <v>9</v>
      </c>
      <c r="L18" s="7" t="s">
        <v>9</v>
      </c>
      <c r="M18" s="7">
        <v>2</v>
      </c>
      <c r="N18" s="7">
        <v>0</v>
      </c>
      <c r="O18" s="7">
        <v>10</v>
      </c>
      <c r="P18" s="20">
        <v>2</v>
      </c>
      <c r="Q18" s="7">
        <v>7</v>
      </c>
      <c r="R18" s="7" t="s">
        <v>9</v>
      </c>
      <c r="S18" s="7" t="s">
        <v>9</v>
      </c>
      <c r="T18" s="7">
        <v>2</v>
      </c>
      <c r="U18" s="7">
        <v>4</v>
      </c>
      <c r="V18" s="7">
        <v>8</v>
      </c>
      <c r="W18" s="7">
        <v>15</v>
      </c>
      <c r="X18" s="7">
        <v>4</v>
      </c>
      <c r="Y18" s="7" t="s">
        <v>9</v>
      </c>
      <c r="Z18" s="7" t="s">
        <v>9</v>
      </c>
      <c r="AA18" s="7">
        <v>10</v>
      </c>
      <c r="AB18" s="7">
        <v>19</v>
      </c>
      <c r="AC18" s="7">
        <v>37</v>
      </c>
      <c r="AD18" s="7">
        <v>8</v>
      </c>
      <c r="AE18" s="7">
        <v>4</v>
      </c>
      <c r="AF18" s="7" t="s">
        <v>9</v>
      </c>
      <c r="AG18" s="7" t="s">
        <v>9</v>
      </c>
      <c r="AH18" s="7">
        <v>10</v>
      </c>
      <c r="AI18" s="27">
        <f>SUM(D18:AH18)</f>
        <v>254</v>
      </c>
      <c r="AJ18" s="85">
        <f>SUM(AI18:AI23)</f>
        <v>690</v>
      </c>
    </row>
    <row r="19" spans="1:36" x14ac:dyDescent="0.25">
      <c r="A19" s="123"/>
      <c r="B19" s="125"/>
      <c r="C19" s="32" t="s">
        <v>50</v>
      </c>
      <c r="D19" s="14" t="s">
        <v>9</v>
      </c>
      <c r="E19" s="14" t="s">
        <v>9</v>
      </c>
      <c r="F19" s="14">
        <v>7</v>
      </c>
      <c r="G19" s="14">
        <v>13</v>
      </c>
      <c r="H19" s="14">
        <v>1</v>
      </c>
      <c r="I19" s="14">
        <v>5</v>
      </c>
      <c r="J19" s="14">
        <v>9</v>
      </c>
      <c r="K19" s="14" t="s">
        <v>9</v>
      </c>
      <c r="L19" s="14" t="s">
        <v>9</v>
      </c>
      <c r="M19" s="14">
        <v>8</v>
      </c>
      <c r="N19" s="14">
        <v>5</v>
      </c>
      <c r="O19" s="14">
        <v>7</v>
      </c>
      <c r="P19" s="22">
        <v>14</v>
      </c>
      <c r="Q19" s="14">
        <v>4</v>
      </c>
      <c r="R19" s="14" t="s">
        <v>9</v>
      </c>
      <c r="S19" s="14" t="s">
        <v>9</v>
      </c>
      <c r="T19" s="14">
        <v>18</v>
      </c>
      <c r="U19" s="14">
        <v>10</v>
      </c>
      <c r="V19" s="14">
        <v>4</v>
      </c>
      <c r="W19" s="14">
        <v>10</v>
      </c>
      <c r="X19" s="14">
        <v>12</v>
      </c>
      <c r="Y19" s="14" t="s">
        <v>9</v>
      </c>
      <c r="Z19" s="14" t="s">
        <v>9</v>
      </c>
      <c r="AA19" s="14">
        <v>7</v>
      </c>
      <c r="AB19" s="14">
        <v>15</v>
      </c>
      <c r="AC19" s="14">
        <v>6</v>
      </c>
      <c r="AD19" s="14">
        <v>13</v>
      </c>
      <c r="AE19" s="14">
        <v>8</v>
      </c>
      <c r="AF19" s="14" t="s">
        <v>9</v>
      </c>
      <c r="AG19" s="14" t="s">
        <v>9</v>
      </c>
      <c r="AH19" s="14">
        <v>8</v>
      </c>
      <c r="AI19" s="28">
        <f t="shared" ref="AI19:AI21" si="6">SUM(D19:AH19)</f>
        <v>184</v>
      </c>
      <c r="AJ19" s="122"/>
    </row>
    <row r="20" spans="1:36" x14ac:dyDescent="0.25">
      <c r="A20" s="123"/>
      <c r="B20" s="125"/>
      <c r="C20" s="32" t="s">
        <v>49</v>
      </c>
      <c r="D20" s="14" t="s">
        <v>9</v>
      </c>
      <c r="E20" s="14" t="s">
        <v>9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9</v>
      </c>
      <c r="L20" s="14" t="s">
        <v>9</v>
      </c>
      <c r="M20" s="14">
        <v>0</v>
      </c>
      <c r="N20" s="14">
        <v>0</v>
      </c>
      <c r="O20" s="14">
        <v>0</v>
      </c>
      <c r="P20" s="22">
        <v>0</v>
      </c>
      <c r="Q20" s="14">
        <v>0</v>
      </c>
      <c r="R20" s="14" t="s">
        <v>9</v>
      </c>
      <c r="S20" s="14" t="s">
        <v>9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 t="s">
        <v>9</v>
      </c>
      <c r="Z20" s="14" t="s">
        <v>9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 t="s">
        <v>9</v>
      </c>
      <c r="AG20" s="14" t="s">
        <v>9</v>
      </c>
      <c r="AH20" s="14">
        <v>0</v>
      </c>
      <c r="AI20" s="28">
        <f t="shared" si="6"/>
        <v>0</v>
      </c>
      <c r="AJ20" s="122"/>
    </row>
    <row r="21" spans="1:36" x14ac:dyDescent="0.25">
      <c r="A21" s="123"/>
      <c r="B21" s="126"/>
      <c r="C21" s="32" t="s">
        <v>51</v>
      </c>
      <c r="D21" s="14" t="s">
        <v>9</v>
      </c>
      <c r="E21" s="14" t="s">
        <v>9</v>
      </c>
      <c r="F21" s="14">
        <v>0</v>
      </c>
      <c r="G21" s="14">
        <v>0</v>
      </c>
      <c r="H21" s="14">
        <v>1</v>
      </c>
      <c r="I21" s="14">
        <v>0</v>
      </c>
      <c r="J21" s="14">
        <v>4</v>
      </c>
      <c r="K21" s="14" t="s">
        <v>9</v>
      </c>
      <c r="L21" s="14" t="s">
        <v>9</v>
      </c>
      <c r="M21" s="14">
        <v>0</v>
      </c>
      <c r="N21" s="14">
        <v>0</v>
      </c>
      <c r="O21" s="14">
        <v>2</v>
      </c>
      <c r="P21" s="22">
        <v>4</v>
      </c>
      <c r="Q21" s="14">
        <v>2</v>
      </c>
      <c r="R21" s="14" t="s">
        <v>9</v>
      </c>
      <c r="S21" s="14" t="s">
        <v>9</v>
      </c>
      <c r="T21" s="14">
        <v>3</v>
      </c>
      <c r="U21" s="14">
        <v>2</v>
      </c>
      <c r="V21" s="14">
        <v>6</v>
      </c>
      <c r="W21" s="14">
        <v>4</v>
      </c>
      <c r="X21" s="14">
        <v>4</v>
      </c>
      <c r="Y21" s="14" t="s">
        <v>9</v>
      </c>
      <c r="Z21" s="14" t="s">
        <v>9</v>
      </c>
      <c r="AA21" s="14">
        <v>2</v>
      </c>
      <c r="AB21" s="14">
        <v>1</v>
      </c>
      <c r="AC21" s="14">
        <v>2</v>
      </c>
      <c r="AD21" s="14">
        <v>5</v>
      </c>
      <c r="AE21" s="14">
        <v>2</v>
      </c>
      <c r="AF21" s="14" t="s">
        <v>9</v>
      </c>
      <c r="AG21" s="14" t="s">
        <v>9</v>
      </c>
      <c r="AH21" s="14">
        <v>2</v>
      </c>
      <c r="AI21" s="28">
        <f t="shared" si="6"/>
        <v>46</v>
      </c>
      <c r="AJ21" s="122"/>
    </row>
    <row r="22" spans="1:36" x14ac:dyDescent="0.25">
      <c r="A22" s="72"/>
      <c r="B22" s="127" t="s">
        <v>45</v>
      </c>
      <c r="C22" s="30" t="s">
        <v>46</v>
      </c>
      <c r="D22" s="3" t="s">
        <v>9</v>
      </c>
      <c r="E22" s="3" t="s">
        <v>9</v>
      </c>
      <c r="F22" s="3">
        <v>6</v>
      </c>
      <c r="G22" s="3">
        <v>8</v>
      </c>
      <c r="H22" s="3">
        <v>19</v>
      </c>
      <c r="I22" s="3">
        <v>12</v>
      </c>
      <c r="J22" s="3">
        <v>28</v>
      </c>
      <c r="K22" s="3" t="s">
        <v>9</v>
      </c>
      <c r="L22" s="3" t="s">
        <v>9</v>
      </c>
      <c r="M22" s="3">
        <v>4</v>
      </c>
      <c r="N22" s="3">
        <v>0</v>
      </c>
      <c r="O22" s="3">
        <v>8</v>
      </c>
      <c r="P22" s="17">
        <v>7</v>
      </c>
      <c r="Q22" s="3">
        <v>6</v>
      </c>
      <c r="R22" s="3" t="s">
        <v>9</v>
      </c>
      <c r="S22" s="3" t="s">
        <v>9</v>
      </c>
      <c r="T22" s="3">
        <v>11</v>
      </c>
      <c r="U22" s="3">
        <v>3</v>
      </c>
      <c r="V22" s="3">
        <v>10</v>
      </c>
      <c r="W22" s="3">
        <v>18</v>
      </c>
      <c r="X22" s="3">
        <v>6</v>
      </c>
      <c r="Y22" s="3" t="s">
        <v>9</v>
      </c>
      <c r="Z22" s="3" t="s">
        <v>9</v>
      </c>
      <c r="AA22" s="3">
        <v>4</v>
      </c>
      <c r="AB22" s="3">
        <v>15</v>
      </c>
      <c r="AC22" s="3">
        <v>14</v>
      </c>
      <c r="AD22" s="3">
        <v>10</v>
      </c>
      <c r="AE22" s="3">
        <v>5</v>
      </c>
      <c r="AF22" s="3" t="s">
        <v>9</v>
      </c>
      <c r="AG22" s="3" t="s">
        <v>9</v>
      </c>
      <c r="AH22" s="3">
        <v>8</v>
      </c>
      <c r="AI22" s="28">
        <f>SUM(D22:AH22)</f>
        <v>202</v>
      </c>
      <c r="AJ22" s="86"/>
    </row>
    <row r="23" spans="1:36" ht="13.5" thickBot="1" x14ac:dyDescent="0.3">
      <c r="A23" s="107"/>
      <c r="B23" s="128"/>
      <c r="C23" s="31" t="s">
        <v>47</v>
      </c>
      <c r="D23" s="8" t="s">
        <v>9</v>
      </c>
      <c r="E23" s="8" t="s">
        <v>9</v>
      </c>
      <c r="F23" s="8">
        <v>0</v>
      </c>
      <c r="G23" s="8">
        <v>0</v>
      </c>
      <c r="H23" s="8">
        <v>0</v>
      </c>
      <c r="I23" s="8">
        <v>0</v>
      </c>
      <c r="J23" s="8">
        <v>1</v>
      </c>
      <c r="K23" s="8" t="s">
        <v>9</v>
      </c>
      <c r="L23" s="8" t="s">
        <v>9</v>
      </c>
      <c r="M23" s="8">
        <v>0</v>
      </c>
      <c r="N23" s="8">
        <v>0</v>
      </c>
      <c r="O23" s="8">
        <v>0</v>
      </c>
      <c r="P23" s="21">
        <v>0</v>
      </c>
      <c r="Q23" s="8">
        <v>0</v>
      </c>
      <c r="R23" s="8" t="s">
        <v>9</v>
      </c>
      <c r="S23" s="8" t="s">
        <v>9</v>
      </c>
      <c r="T23" s="8">
        <v>0</v>
      </c>
      <c r="U23" s="8">
        <v>0</v>
      </c>
      <c r="V23" s="8">
        <v>0</v>
      </c>
      <c r="W23" s="8">
        <v>1</v>
      </c>
      <c r="X23" s="8">
        <v>0</v>
      </c>
      <c r="Y23" s="8" t="s">
        <v>9</v>
      </c>
      <c r="Z23" s="8" t="s">
        <v>9</v>
      </c>
      <c r="AA23" s="8">
        <v>0</v>
      </c>
      <c r="AB23" s="8">
        <v>1</v>
      </c>
      <c r="AC23" s="8">
        <v>0</v>
      </c>
      <c r="AD23" s="8">
        <v>0</v>
      </c>
      <c r="AE23" s="8">
        <v>1</v>
      </c>
      <c r="AF23" s="8" t="s">
        <v>9</v>
      </c>
      <c r="AG23" s="8" t="s">
        <v>9</v>
      </c>
      <c r="AH23" s="8">
        <v>0</v>
      </c>
      <c r="AI23" s="26">
        <f>SUM(D23:AH23)</f>
        <v>4</v>
      </c>
      <c r="AJ23" s="87"/>
    </row>
    <row r="24" spans="1:36" x14ac:dyDescent="0.25">
      <c r="A24" s="89" t="s">
        <v>36</v>
      </c>
      <c r="B24" s="136" t="s">
        <v>18</v>
      </c>
      <c r="C24" s="29" t="s">
        <v>48</v>
      </c>
      <c r="D24" s="7">
        <v>0</v>
      </c>
      <c r="E24" s="7" t="s">
        <v>9</v>
      </c>
      <c r="F24" s="7">
        <v>3</v>
      </c>
      <c r="G24" s="7" t="s">
        <v>9</v>
      </c>
      <c r="H24" s="7">
        <v>23</v>
      </c>
      <c r="I24" s="7">
        <v>1</v>
      </c>
      <c r="J24" s="7">
        <v>14</v>
      </c>
      <c r="K24" s="7" t="s">
        <v>9</v>
      </c>
      <c r="L24" s="7" t="s">
        <v>9</v>
      </c>
      <c r="M24" s="7">
        <v>7</v>
      </c>
      <c r="N24" s="7">
        <v>14</v>
      </c>
      <c r="O24" s="7">
        <v>0</v>
      </c>
      <c r="P24" s="7">
        <v>3</v>
      </c>
      <c r="Q24" s="7">
        <v>1</v>
      </c>
      <c r="R24" s="7">
        <v>0</v>
      </c>
      <c r="S24" s="7" t="s">
        <v>9</v>
      </c>
      <c r="T24" s="7" t="s">
        <v>9</v>
      </c>
      <c r="U24" s="7">
        <v>0</v>
      </c>
      <c r="V24" s="7" t="s">
        <v>30</v>
      </c>
      <c r="W24" s="7" t="s">
        <v>30</v>
      </c>
      <c r="X24" s="7">
        <v>0</v>
      </c>
      <c r="Y24" s="7" t="s">
        <v>9</v>
      </c>
      <c r="Z24" s="7" t="s">
        <v>9</v>
      </c>
      <c r="AA24" s="7" t="s">
        <v>30</v>
      </c>
      <c r="AB24" s="7" t="s">
        <v>30</v>
      </c>
      <c r="AC24" s="7">
        <v>0</v>
      </c>
      <c r="AD24" s="7">
        <v>1</v>
      </c>
      <c r="AE24" s="7">
        <v>5</v>
      </c>
      <c r="AF24" s="7">
        <v>1</v>
      </c>
      <c r="AG24" s="7" t="s">
        <v>9</v>
      </c>
      <c r="AH24" s="7">
        <v>2</v>
      </c>
      <c r="AI24" s="27">
        <f>SUM(D24:AH24)</f>
        <v>75</v>
      </c>
      <c r="AJ24" s="85">
        <f>SUM(AI24:AI29)</f>
        <v>483</v>
      </c>
    </row>
    <row r="25" spans="1:36" x14ac:dyDescent="0.25">
      <c r="A25" s="121"/>
      <c r="B25" s="137"/>
      <c r="C25" s="32" t="s">
        <v>50</v>
      </c>
      <c r="D25" s="14">
        <v>1</v>
      </c>
      <c r="E25" s="14" t="s">
        <v>9</v>
      </c>
      <c r="F25" s="14">
        <v>1</v>
      </c>
      <c r="G25" s="14" t="s">
        <v>9</v>
      </c>
      <c r="H25" s="14">
        <v>0</v>
      </c>
      <c r="I25" s="14">
        <v>0</v>
      </c>
      <c r="J25" s="14">
        <v>0</v>
      </c>
      <c r="K25" s="14" t="s">
        <v>9</v>
      </c>
      <c r="L25" s="14" t="s">
        <v>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 t="s">
        <v>9</v>
      </c>
      <c r="T25" s="14" t="s">
        <v>9</v>
      </c>
      <c r="U25" s="14">
        <v>0</v>
      </c>
      <c r="V25" s="14" t="s">
        <v>30</v>
      </c>
      <c r="W25" s="14" t="s">
        <v>30</v>
      </c>
      <c r="X25" s="14">
        <v>0</v>
      </c>
      <c r="Y25" s="14" t="s">
        <v>9</v>
      </c>
      <c r="Z25" s="14" t="s">
        <v>9</v>
      </c>
      <c r="AA25" s="14" t="s">
        <v>30</v>
      </c>
      <c r="AB25" s="14" t="s">
        <v>30</v>
      </c>
      <c r="AC25" s="14">
        <v>1</v>
      </c>
      <c r="AD25" s="14">
        <v>0</v>
      </c>
      <c r="AE25" s="14">
        <v>0</v>
      </c>
      <c r="AF25" s="14">
        <v>0</v>
      </c>
      <c r="AG25" s="14" t="s">
        <v>9</v>
      </c>
      <c r="AH25" s="14">
        <v>4</v>
      </c>
      <c r="AI25" s="28">
        <f t="shared" ref="AI25:AI27" si="7">SUM(D25:AH25)</f>
        <v>7</v>
      </c>
      <c r="AJ25" s="122"/>
    </row>
    <row r="26" spans="1:36" x14ac:dyDescent="0.25">
      <c r="A26" s="121"/>
      <c r="B26" s="137"/>
      <c r="C26" s="32" t="s">
        <v>49</v>
      </c>
      <c r="D26" s="14">
        <v>27</v>
      </c>
      <c r="E26" s="14" t="s">
        <v>9</v>
      </c>
      <c r="F26" s="14">
        <v>5</v>
      </c>
      <c r="G26" s="14" t="s">
        <v>9</v>
      </c>
      <c r="H26" s="14">
        <v>6</v>
      </c>
      <c r="I26" s="14">
        <v>5</v>
      </c>
      <c r="J26" s="14">
        <v>4</v>
      </c>
      <c r="K26" s="14" t="s">
        <v>9</v>
      </c>
      <c r="L26" s="14" t="s">
        <v>9</v>
      </c>
      <c r="M26" s="14">
        <v>2</v>
      </c>
      <c r="N26" s="14">
        <v>3</v>
      </c>
      <c r="O26" s="14">
        <v>10</v>
      </c>
      <c r="P26" s="14">
        <v>11</v>
      </c>
      <c r="Q26" s="14">
        <v>21</v>
      </c>
      <c r="R26" s="14">
        <v>2</v>
      </c>
      <c r="S26" s="14" t="s">
        <v>9</v>
      </c>
      <c r="T26" s="14" t="s">
        <v>9</v>
      </c>
      <c r="U26" s="14">
        <v>3</v>
      </c>
      <c r="V26" s="14" t="s">
        <v>30</v>
      </c>
      <c r="W26" s="14" t="s">
        <v>30</v>
      </c>
      <c r="X26" s="14">
        <v>11</v>
      </c>
      <c r="Y26" s="14" t="s">
        <v>9</v>
      </c>
      <c r="Z26" s="14" t="s">
        <v>9</v>
      </c>
      <c r="AA26" s="14" t="s">
        <v>30</v>
      </c>
      <c r="AB26" s="14" t="s">
        <v>30</v>
      </c>
      <c r="AC26" s="14">
        <v>3</v>
      </c>
      <c r="AD26" s="14">
        <v>4</v>
      </c>
      <c r="AE26" s="14">
        <v>10</v>
      </c>
      <c r="AF26" s="14">
        <v>13</v>
      </c>
      <c r="AG26" s="14" t="s">
        <v>9</v>
      </c>
      <c r="AH26" s="14">
        <v>2</v>
      </c>
      <c r="AI26" s="28">
        <f t="shared" si="7"/>
        <v>142</v>
      </c>
      <c r="AJ26" s="122"/>
    </row>
    <row r="27" spans="1:36" x14ac:dyDescent="0.25">
      <c r="A27" s="121"/>
      <c r="B27" s="138"/>
      <c r="C27" s="32" t="s">
        <v>51</v>
      </c>
      <c r="D27" s="14">
        <v>8</v>
      </c>
      <c r="E27" s="14" t="s">
        <v>9</v>
      </c>
      <c r="F27" s="14">
        <v>8</v>
      </c>
      <c r="G27" s="14" t="s">
        <v>9</v>
      </c>
      <c r="H27" s="14">
        <v>4</v>
      </c>
      <c r="I27" s="14">
        <v>2</v>
      </c>
      <c r="J27" s="14">
        <v>5</v>
      </c>
      <c r="K27" s="14" t="s">
        <v>9</v>
      </c>
      <c r="L27" s="14" t="s">
        <v>9</v>
      </c>
      <c r="M27" s="14">
        <v>5</v>
      </c>
      <c r="N27" s="14">
        <v>6</v>
      </c>
      <c r="O27" s="14">
        <v>4</v>
      </c>
      <c r="P27" s="14">
        <v>5</v>
      </c>
      <c r="Q27" s="14">
        <v>1</v>
      </c>
      <c r="R27" s="14">
        <v>5</v>
      </c>
      <c r="S27" s="14" t="s">
        <v>9</v>
      </c>
      <c r="T27" s="14" t="s">
        <v>9</v>
      </c>
      <c r="U27" s="14">
        <v>5</v>
      </c>
      <c r="V27" s="14" t="s">
        <v>30</v>
      </c>
      <c r="W27" s="14" t="s">
        <v>30</v>
      </c>
      <c r="X27" s="14">
        <v>8</v>
      </c>
      <c r="Y27" s="14" t="s">
        <v>9</v>
      </c>
      <c r="Z27" s="14" t="s">
        <v>9</v>
      </c>
      <c r="AA27" s="14" t="s">
        <v>30</v>
      </c>
      <c r="AB27" s="14" t="s">
        <v>30</v>
      </c>
      <c r="AC27" s="14">
        <v>5</v>
      </c>
      <c r="AD27" s="14">
        <v>2</v>
      </c>
      <c r="AE27" s="14">
        <v>5</v>
      </c>
      <c r="AF27" s="14">
        <v>5</v>
      </c>
      <c r="AG27" s="14" t="s">
        <v>9</v>
      </c>
      <c r="AH27" s="14">
        <v>13</v>
      </c>
      <c r="AI27" s="28">
        <f t="shared" si="7"/>
        <v>96</v>
      </c>
      <c r="AJ27" s="122"/>
    </row>
    <row r="28" spans="1:36" x14ac:dyDescent="0.25">
      <c r="A28" s="90"/>
      <c r="B28" s="139" t="s">
        <v>45</v>
      </c>
      <c r="C28" s="30" t="s">
        <v>46</v>
      </c>
      <c r="D28" s="3">
        <v>7</v>
      </c>
      <c r="E28" s="3" t="s">
        <v>9</v>
      </c>
      <c r="F28" s="3">
        <v>4</v>
      </c>
      <c r="G28" s="3" t="s">
        <v>9</v>
      </c>
      <c r="H28" s="3">
        <v>21</v>
      </c>
      <c r="I28" s="3">
        <v>5</v>
      </c>
      <c r="J28" s="3">
        <v>16</v>
      </c>
      <c r="K28" s="3" t="s">
        <v>9</v>
      </c>
      <c r="L28" s="3" t="s">
        <v>9</v>
      </c>
      <c r="M28" s="3">
        <v>10</v>
      </c>
      <c r="N28" s="3">
        <v>21</v>
      </c>
      <c r="O28" s="3">
        <v>5</v>
      </c>
      <c r="P28" s="3">
        <v>7</v>
      </c>
      <c r="Q28" s="3">
        <v>5</v>
      </c>
      <c r="R28" s="3">
        <v>6</v>
      </c>
      <c r="S28" s="3" t="s">
        <v>9</v>
      </c>
      <c r="T28" s="3" t="s">
        <v>9</v>
      </c>
      <c r="U28" s="3">
        <v>4</v>
      </c>
      <c r="V28" s="3" t="s">
        <v>30</v>
      </c>
      <c r="W28" s="3" t="s">
        <v>30</v>
      </c>
      <c r="X28" s="3">
        <v>11</v>
      </c>
      <c r="Y28" s="3" t="s">
        <v>9</v>
      </c>
      <c r="Z28" s="3" t="s">
        <v>9</v>
      </c>
      <c r="AA28" s="3" t="s">
        <v>30</v>
      </c>
      <c r="AB28" s="3" t="s">
        <v>30</v>
      </c>
      <c r="AC28" s="3">
        <v>10</v>
      </c>
      <c r="AD28" s="3">
        <v>3</v>
      </c>
      <c r="AE28" s="3">
        <v>8</v>
      </c>
      <c r="AF28" s="3">
        <v>2</v>
      </c>
      <c r="AG28" s="3" t="s">
        <v>9</v>
      </c>
      <c r="AH28" s="3">
        <v>12</v>
      </c>
      <c r="AI28" s="28">
        <f>SUM(D28:AH28)</f>
        <v>157</v>
      </c>
      <c r="AJ28" s="86"/>
    </row>
    <row r="29" spans="1:36" ht="13.5" thickBot="1" x14ac:dyDescent="0.3">
      <c r="A29" s="91"/>
      <c r="B29" s="140"/>
      <c r="C29" s="31" t="s">
        <v>47</v>
      </c>
      <c r="D29" s="8">
        <v>0</v>
      </c>
      <c r="E29" s="8" t="s">
        <v>9</v>
      </c>
      <c r="F29" s="8">
        <v>0</v>
      </c>
      <c r="G29" s="8" t="s">
        <v>9</v>
      </c>
      <c r="H29" s="8">
        <v>0</v>
      </c>
      <c r="I29" s="8">
        <v>1</v>
      </c>
      <c r="J29" s="8">
        <v>0</v>
      </c>
      <c r="K29" s="8" t="s">
        <v>9</v>
      </c>
      <c r="L29" s="8" t="s">
        <v>9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1</v>
      </c>
      <c r="S29" s="8" t="s">
        <v>9</v>
      </c>
      <c r="T29" s="8" t="s">
        <v>9</v>
      </c>
      <c r="U29" s="8">
        <v>0</v>
      </c>
      <c r="V29" s="8" t="s">
        <v>30</v>
      </c>
      <c r="W29" s="8" t="s">
        <v>30</v>
      </c>
      <c r="X29" s="8">
        <v>0</v>
      </c>
      <c r="Y29" s="8" t="s">
        <v>9</v>
      </c>
      <c r="Z29" s="8" t="s">
        <v>9</v>
      </c>
      <c r="AA29" s="8" t="s">
        <v>30</v>
      </c>
      <c r="AB29" s="8" t="s">
        <v>30</v>
      </c>
      <c r="AC29" s="8">
        <v>0</v>
      </c>
      <c r="AD29" s="8">
        <v>0</v>
      </c>
      <c r="AE29" s="8">
        <v>0</v>
      </c>
      <c r="AF29" s="8">
        <v>4</v>
      </c>
      <c r="AG29" s="8" t="s">
        <v>9</v>
      </c>
      <c r="AH29" s="8">
        <v>0</v>
      </c>
      <c r="AI29" s="26">
        <f>SUM(D29:AH29)</f>
        <v>6</v>
      </c>
      <c r="AJ29" s="87"/>
    </row>
    <row r="30" spans="1:36" x14ac:dyDescent="0.25">
      <c r="A30" s="88" t="s">
        <v>39</v>
      </c>
      <c r="B30" s="124" t="s">
        <v>18</v>
      </c>
      <c r="C30" s="29" t="s">
        <v>48</v>
      </c>
      <c r="D30" s="7" t="s">
        <v>9</v>
      </c>
      <c r="E30" s="7" t="s">
        <v>9</v>
      </c>
      <c r="F30" s="7" t="s">
        <v>9</v>
      </c>
      <c r="G30" s="7" t="s">
        <v>9</v>
      </c>
      <c r="H30" s="7">
        <v>11</v>
      </c>
      <c r="I30" s="7">
        <v>13</v>
      </c>
      <c r="J30" s="7">
        <f>27+12</f>
        <v>39</v>
      </c>
      <c r="K30" s="7" t="s">
        <v>9</v>
      </c>
      <c r="L30" s="7" t="s">
        <v>9</v>
      </c>
      <c r="M30" s="7">
        <v>0</v>
      </c>
      <c r="N30" s="7">
        <v>1</v>
      </c>
      <c r="O30" s="7">
        <v>10</v>
      </c>
      <c r="P30" s="7">
        <v>2</v>
      </c>
      <c r="Q30" s="7">
        <v>5</v>
      </c>
      <c r="R30" s="7" t="s">
        <v>9</v>
      </c>
      <c r="S30" s="7" t="s">
        <v>9</v>
      </c>
      <c r="T30" s="7">
        <v>2</v>
      </c>
      <c r="U30" s="7">
        <v>6</v>
      </c>
      <c r="V30" s="7">
        <v>8</v>
      </c>
      <c r="W30" s="7">
        <v>17</v>
      </c>
      <c r="X30" s="7">
        <v>3</v>
      </c>
      <c r="Y30" s="7" t="s">
        <v>9</v>
      </c>
      <c r="Z30" s="7" t="s">
        <v>9</v>
      </c>
      <c r="AA30" s="7">
        <v>11</v>
      </c>
      <c r="AB30" s="7">
        <v>34</v>
      </c>
      <c r="AC30" s="7">
        <v>15</v>
      </c>
      <c r="AD30" s="7">
        <v>12</v>
      </c>
      <c r="AE30" s="7">
        <v>4</v>
      </c>
      <c r="AF30" s="7" t="s">
        <v>9</v>
      </c>
      <c r="AG30" s="7" t="s">
        <v>9</v>
      </c>
      <c r="AH30" s="7">
        <v>25</v>
      </c>
      <c r="AI30" s="27">
        <f>SUM(D30:AH30)</f>
        <v>218</v>
      </c>
      <c r="AJ30" s="85">
        <f>SUM(AI30:AI35)</f>
        <v>649</v>
      </c>
    </row>
    <row r="31" spans="1:36" x14ac:dyDescent="0.25">
      <c r="A31" s="88"/>
      <c r="B31" s="125"/>
      <c r="C31" s="32" t="s">
        <v>50</v>
      </c>
      <c r="D31" s="14" t="s">
        <v>9</v>
      </c>
      <c r="E31" s="14" t="s">
        <v>9</v>
      </c>
      <c r="F31" s="14" t="s">
        <v>9</v>
      </c>
      <c r="G31" s="14" t="s">
        <v>9</v>
      </c>
      <c r="H31" s="14">
        <v>7</v>
      </c>
      <c r="I31" s="14">
        <v>5</v>
      </c>
      <c r="J31" s="14">
        <v>14</v>
      </c>
      <c r="K31" s="14" t="s">
        <v>9</v>
      </c>
      <c r="L31" s="14" t="s">
        <v>9</v>
      </c>
      <c r="M31" s="14">
        <v>16</v>
      </c>
      <c r="N31" s="14">
        <v>23</v>
      </c>
      <c r="O31" s="14">
        <v>7</v>
      </c>
      <c r="P31" s="14">
        <v>12</v>
      </c>
      <c r="Q31" s="14">
        <v>11</v>
      </c>
      <c r="R31" s="14" t="s">
        <v>9</v>
      </c>
      <c r="S31" s="14" t="s">
        <v>9</v>
      </c>
      <c r="T31" s="14">
        <v>6</v>
      </c>
      <c r="U31" s="14">
        <v>21</v>
      </c>
      <c r="V31" s="14">
        <v>12</v>
      </c>
      <c r="W31" s="14">
        <v>12</v>
      </c>
      <c r="X31" s="14">
        <v>10</v>
      </c>
      <c r="Y31" s="14" t="s">
        <v>9</v>
      </c>
      <c r="Z31" s="14" t="s">
        <v>9</v>
      </c>
      <c r="AA31" s="14">
        <v>11</v>
      </c>
      <c r="AB31" s="14">
        <v>16</v>
      </c>
      <c r="AC31" s="14">
        <v>15</v>
      </c>
      <c r="AD31" s="14">
        <v>17</v>
      </c>
      <c r="AE31" s="14">
        <v>11</v>
      </c>
      <c r="AF31" s="14" t="s">
        <v>9</v>
      </c>
      <c r="AG31" s="14" t="s">
        <v>9</v>
      </c>
      <c r="AH31" s="14">
        <v>7</v>
      </c>
      <c r="AI31" s="28">
        <f t="shared" ref="AI31:AI33" si="8">SUM(D31:AH31)</f>
        <v>233</v>
      </c>
      <c r="AJ31" s="122"/>
    </row>
    <row r="32" spans="1:36" x14ac:dyDescent="0.25">
      <c r="A32" s="88"/>
      <c r="B32" s="125"/>
      <c r="C32" s="32" t="s">
        <v>49</v>
      </c>
      <c r="D32" s="14" t="s">
        <v>9</v>
      </c>
      <c r="E32" s="14" t="s">
        <v>9</v>
      </c>
      <c r="F32" s="14" t="s">
        <v>9</v>
      </c>
      <c r="G32" s="14" t="s">
        <v>9</v>
      </c>
      <c r="H32" s="14">
        <v>0</v>
      </c>
      <c r="I32" s="14">
        <v>0</v>
      </c>
      <c r="J32" s="14">
        <v>0</v>
      </c>
      <c r="K32" s="14" t="s">
        <v>9</v>
      </c>
      <c r="L32" s="14" t="s">
        <v>9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 t="s">
        <v>9</v>
      </c>
      <c r="S32" s="14" t="s">
        <v>9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 t="s">
        <v>9</v>
      </c>
      <c r="Z32" s="14" t="s">
        <v>9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 t="s">
        <v>9</v>
      </c>
      <c r="AG32" s="14" t="s">
        <v>9</v>
      </c>
      <c r="AH32" s="14">
        <v>0</v>
      </c>
      <c r="AI32" s="28">
        <f t="shared" si="8"/>
        <v>0</v>
      </c>
      <c r="AJ32" s="122"/>
    </row>
    <row r="33" spans="1:36" x14ac:dyDescent="0.25">
      <c r="A33" s="88"/>
      <c r="B33" s="126"/>
      <c r="C33" s="32" t="s">
        <v>51</v>
      </c>
      <c r="D33" s="14" t="s">
        <v>9</v>
      </c>
      <c r="E33" s="14" t="s">
        <v>9</v>
      </c>
      <c r="F33" s="14" t="s">
        <v>9</v>
      </c>
      <c r="G33" s="14" t="s">
        <v>9</v>
      </c>
      <c r="H33" s="14">
        <v>0</v>
      </c>
      <c r="I33" s="14">
        <v>1</v>
      </c>
      <c r="J33" s="14">
        <v>2</v>
      </c>
      <c r="K33" s="14" t="s">
        <v>9</v>
      </c>
      <c r="L33" s="14" t="s">
        <v>9</v>
      </c>
      <c r="M33" s="14">
        <v>1</v>
      </c>
      <c r="N33" s="14">
        <v>0</v>
      </c>
      <c r="O33" s="14">
        <v>0</v>
      </c>
      <c r="P33" s="14">
        <v>2</v>
      </c>
      <c r="Q33" s="14">
        <v>1</v>
      </c>
      <c r="R33" s="14" t="s">
        <v>9</v>
      </c>
      <c r="S33" s="14" t="s">
        <v>9</v>
      </c>
      <c r="T33" s="14">
        <v>0</v>
      </c>
      <c r="U33" s="14">
        <v>0</v>
      </c>
      <c r="V33" s="14">
        <v>4</v>
      </c>
      <c r="W33" s="14">
        <v>0</v>
      </c>
      <c r="X33" s="14">
        <v>1</v>
      </c>
      <c r="Y33" s="14" t="s">
        <v>9</v>
      </c>
      <c r="Z33" s="14" t="s">
        <v>9</v>
      </c>
      <c r="AA33" s="14">
        <v>1</v>
      </c>
      <c r="AB33" s="14">
        <v>1</v>
      </c>
      <c r="AC33" s="14">
        <v>4</v>
      </c>
      <c r="AD33" s="14">
        <v>3</v>
      </c>
      <c r="AE33" s="14">
        <v>0</v>
      </c>
      <c r="AF33" s="14" t="s">
        <v>9</v>
      </c>
      <c r="AG33" s="14" t="s">
        <v>9</v>
      </c>
      <c r="AH33" s="14">
        <v>1</v>
      </c>
      <c r="AI33" s="28">
        <f t="shared" si="8"/>
        <v>22</v>
      </c>
      <c r="AJ33" s="122"/>
    </row>
    <row r="34" spans="1:36" x14ac:dyDescent="0.25">
      <c r="A34" s="88"/>
      <c r="B34" s="127" t="s">
        <v>45</v>
      </c>
      <c r="C34" s="30" t="s">
        <v>46</v>
      </c>
      <c r="D34" s="3" t="s">
        <v>9</v>
      </c>
      <c r="E34" s="3" t="s">
        <v>9</v>
      </c>
      <c r="F34" s="3" t="s">
        <v>9</v>
      </c>
      <c r="G34" s="3" t="s">
        <v>9</v>
      </c>
      <c r="H34" s="3">
        <v>21</v>
      </c>
      <c r="I34" s="3">
        <v>15</v>
      </c>
      <c r="J34" s="3">
        <v>9</v>
      </c>
      <c r="K34" s="3" t="s">
        <v>9</v>
      </c>
      <c r="L34" s="3" t="s">
        <v>9</v>
      </c>
      <c r="M34" s="3">
        <v>12</v>
      </c>
      <c r="N34" s="3">
        <v>7</v>
      </c>
      <c r="O34" s="3">
        <v>5</v>
      </c>
      <c r="P34" s="3">
        <v>1</v>
      </c>
      <c r="Q34" s="3">
        <v>2</v>
      </c>
      <c r="R34" s="3" t="s">
        <v>9</v>
      </c>
      <c r="S34" s="3" t="s">
        <v>9</v>
      </c>
      <c r="T34" s="3">
        <v>4</v>
      </c>
      <c r="U34" s="3">
        <v>0</v>
      </c>
      <c r="V34" s="3">
        <v>16</v>
      </c>
      <c r="W34" s="3">
        <v>8</v>
      </c>
      <c r="X34" s="3">
        <v>5</v>
      </c>
      <c r="Y34" s="3" t="s">
        <v>9</v>
      </c>
      <c r="Z34" s="3" t="s">
        <v>9</v>
      </c>
      <c r="AA34" s="3">
        <v>8</v>
      </c>
      <c r="AB34" s="3">
        <v>29</v>
      </c>
      <c r="AC34" s="3">
        <v>16</v>
      </c>
      <c r="AD34" s="3">
        <v>12</v>
      </c>
      <c r="AE34" s="3">
        <v>4</v>
      </c>
      <c r="AF34" s="3" t="s">
        <v>9</v>
      </c>
      <c r="AG34" s="3" t="s">
        <v>9</v>
      </c>
      <c r="AH34" s="3">
        <v>1</v>
      </c>
      <c r="AI34" s="28">
        <f>SUM(D34:AH34)</f>
        <v>175</v>
      </c>
      <c r="AJ34" s="86"/>
    </row>
    <row r="35" spans="1:36" ht="13.5" thickBot="1" x14ac:dyDescent="0.3">
      <c r="A35" s="88"/>
      <c r="B35" s="128"/>
      <c r="C35" s="31" t="s">
        <v>47</v>
      </c>
      <c r="D35" s="8" t="s">
        <v>9</v>
      </c>
      <c r="E35" s="8" t="s">
        <v>9</v>
      </c>
      <c r="F35" s="8" t="s">
        <v>9</v>
      </c>
      <c r="G35" s="8" t="s">
        <v>9</v>
      </c>
      <c r="H35" s="8">
        <v>0</v>
      </c>
      <c r="I35" s="8">
        <v>0</v>
      </c>
      <c r="J35" s="8">
        <v>0</v>
      </c>
      <c r="K35" s="8" t="s">
        <v>9</v>
      </c>
      <c r="L35" s="8" t="s">
        <v>9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 t="s">
        <v>9</v>
      </c>
      <c r="S35" s="8" t="s">
        <v>9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 t="s">
        <v>9</v>
      </c>
      <c r="Z35" s="8" t="s">
        <v>9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9</v>
      </c>
      <c r="AG35" s="8" t="s">
        <v>9</v>
      </c>
      <c r="AH35" s="8">
        <v>1</v>
      </c>
      <c r="AI35" s="26">
        <f>SUM(D35:AH35)</f>
        <v>1</v>
      </c>
      <c r="AJ35" s="87"/>
    </row>
    <row r="36" spans="1:36" x14ac:dyDescent="0.25">
      <c r="A36" s="89" t="s">
        <v>32</v>
      </c>
      <c r="B36" s="124" t="s">
        <v>18</v>
      </c>
      <c r="C36" s="29" t="s">
        <v>48</v>
      </c>
      <c r="D36" s="7">
        <v>1</v>
      </c>
      <c r="E36" s="7" t="s">
        <v>9</v>
      </c>
      <c r="F36" s="7">
        <v>24</v>
      </c>
      <c r="G36" s="7" t="s">
        <v>9</v>
      </c>
      <c r="H36" s="7">
        <v>24</v>
      </c>
      <c r="I36" s="7">
        <v>13</v>
      </c>
      <c r="J36" s="7">
        <v>30</v>
      </c>
      <c r="K36" s="7" t="s">
        <v>9</v>
      </c>
      <c r="L36" s="7" t="s">
        <v>9</v>
      </c>
      <c r="M36" s="7">
        <v>1</v>
      </c>
      <c r="N36" s="7">
        <v>3</v>
      </c>
      <c r="O36" s="7">
        <v>8</v>
      </c>
      <c r="P36" s="7">
        <v>3</v>
      </c>
      <c r="Q36" s="7">
        <v>2</v>
      </c>
      <c r="R36" s="20">
        <v>4</v>
      </c>
      <c r="S36" s="7" t="s">
        <v>9</v>
      </c>
      <c r="T36" s="7">
        <v>1</v>
      </c>
      <c r="U36" s="7">
        <v>5</v>
      </c>
      <c r="V36" s="7">
        <v>9</v>
      </c>
      <c r="W36" s="20">
        <v>4</v>
      </c>
      <c r="X36" s="7">
        <v>4</v>
      </c>
      <c r="Y36" s="7" t="s">
        <v>9</v>
      </c>
      <c r="Z36" s="7" t="s">
        <v>9</v>
      </c>
      <c r="AA36" s="7">
        <v>18</v>
      </c>
      <c r="AB36" s="7">
        <v>14</v>
      </c>
      <c r="AC36" s="7">
        <v>8</v>
      </c>
      <c r="AD36" s="7">
        <v>21</v>
      </c>
      <c r="AE36" s="7">
        <v>4</v>
      </c>
      <c r="AF36" s="7">
        <v>7</v>
      </c>
      <c r="AG36" s="7" t="s">
        <v>9</v>
      </c>
      <c r="AH36" s="7">
        <v>8</v>
      </c>
      <c r="AI36" s="27">
        <f>SUM(D36:AH36)</f>
        <v>216</v>
      </c>
      <c r="AJ36" s="85">
        <f>SUM(AI36:AI41)</f>
        <v>470</v>
      </c>
    </row>
    <row r="37" spans="1:36" x14ac:dyDescent="0.25">
      <c r="A37" s="121"/>
      <c r="B37" s="125"/>
      <c r="C37" s="32" t="s">
        <v>50</v>
      </c>
      <c r="D37" s="14">
        <v>4</v>
      </c>
      <c r="E37" s="14" t="s">
        <v>9</v>
      </c>
      <c r="F37" s="14">
        <v>7</v>
      </c>
      <c r="G37" s="14" t="s">
        <v>9</v>
      </c>
      <c r="H37" s="14">
        <v>1</v>
      </c>
      <c r="I37" s="14">
        <v>4</v>
      </c>
      <c r="J37" s="14">
        <v>2</v>
      </c>
      <c r="K37" s="14" t="s">
        <v>9</v>
      </c>
      <c r="L37" s="14" t="s">
        <v>9</v>
      </c>
      <c r="M37" s="14">
        <v>1</v>
      </c>
      <c r="N37" s="14">
        <v>4</v>
      </c>
      <c r="O37" s="14">
        <v>6</v>
      </c>
      <c r="P37" s="14">
        <v>11</v>
      </c>
      <c r="Q37" s="14">
        <v>1</v>
      </c>
      <c r="R37" s="14">
        <v>5</v>
      </c>
      <c r="S37" s="14" t="s">
        <v>9</v>
      </c>
      <c r="T37" s="14">
        <v>2</v>
      </c>
      <c r="U37" s="14">
        <v>0</v>
      </c>
      <c r="V37" s="14">
        <v>4</v>
      </c>
      <c r="W37" s="14">
        <v>7</v>
      </c>
      <c r="X37" s="14">
        <v>1</v>
      </c>
      <c r="Y37" s="14" t="s">
        <v>9</v>
      </c>
      <c r="Z37" s="14" t="s">
        <v>9</v>
      </c>
      <c r="AA37" s="14">
        <v>2</v>
      </c>
      <c r="AB37" s="14">
        <v>6</v>
      </c>
      <c r="AC37" s="14">
        <v>8</v>
      </c>
      <c r="AD37" s="14">
        <v>7</v>
      </c>
      <c r="AE37" s="14">
        <v>3</v>
      </c>
      <c r="AF37" s="14">
        <v>4</v>
      </c>
      <c r="AG37" s="14" t="s">
        <v>9</v>
      </c>
      <c r="AH37" s="14">
        <v>2</v>
      </c>
      <c r="AI37" s="28">
        <f t="shared" ref="AI37:AI39" si="9">SUM(D37:AH37)</f>
        <v>92</v>
      </c>
      <c r="AJ37" s="122"/>
    </row>
    <row r="38" spans="1:36" x14ac:dyDescent="0.25">
      <c r="A38" s="121"/>
      <c r="B38" s="125"/>
      <c r="C38" s="32" t="s">
        <v>49</v>
      </c>
      <c r="D38" s="14">
        <v>0</v>
      </c>
      <c r="E38" s="14" t="s">
        <v>9</v>
      </c>
      <c r="F38" s="14">
        <v>0</v>
      </c>
      <c r="G38" s="14" t="s">
        <v>9</v>
      </c>
      <c r="H38" s="14">
        <v>0</v>
      </c>
      <c r="I38" s="14">
        <v>0</v>
      </c>
      <c r="J38" s="14">
        <v>0</v>
      </c>
      <c r="K38" s="14" t="s">
        <v>9</v>
      </c>
      <c r="L38" s="14" t="s">
        <v>9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 t="s">
        <v>9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 t="s">
        <v>9</v>
      </c>
      <c r="Z38" s="14" t="s">
        <v>9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 t="s">
        <v>9</v>
      </c>
      <c r="AH38" s="14">
        <v>0</v>
      </c>
      <c r="AI38" s="28">
        <f t="shared" si="9"/>
        <v>0</v>
      </c>
      <c r="AJ38" s="122"/>
    </row>
    <row r="39" spans="1:36" x14ac:dyDescent="0.25">
      <c r="A39" s="121"/>
      <c r="B39" s="126"/>
      <c r="C39" s="32" t="s">
        <v>51</v>
      </c>
      <c r="D39" s="14">
        <v>3</v>
      </c>
      <c r="E39" s="14" t="s">
        <v>9</v>
      </c>
      <c r="F39" s="14">
        <v>1</v>
      </c>
      <c r="G39" s="14" t="s">
        <v>9</v>
      </c>
      <c r="H39" s="14">
        <v>0</v>
      </c>
      <c r="I39" s="14">
        <v>1</v>
      </c>
      <c r="J39" s="14">
        <v>0</v>
      </c>
      <c r="K39" s="14" t="s">
        <v>9</v>
      </c>
      <c r="L39" s="14" t="s">
        <v>9</v>
      </c>
      <c r="M39" s="14">
        <v>0</v>
      </c>
      <c r="N39" s="14">
        <v>0</v>
      </c>
      <c r="O39" s="14">
        <v>0</v>
      </c>
      <c r="P39" s="14">
        <v>3</v>
      </c>
      <c r="Q39" s="14">
        <v>0</v>
      </c>
      <c r="R39" s="14">
        <v>2</v>
      </c>
      <c r="S39" s="14" t="s">
        <v>9</v>
      </c>
      <c r="T39" s="14">
        <v>0</v>
      </c>
      <c r="U39" s="14">
        <v>0</v>
      </c>
      <c r="V39" s="14">
        <v>0</v>
      </c>
      <c r="W39" s="14">
        <v>0</v>
      </c>
      <c r="X39" s="14">
        <v>2</v>
      </c>
      <c r="Y39" s="14" t="s">
        <v>9</v>
      </c>
      <c r="Z39" s="14" t="s">
        <v>9</v>
      </c>
      <c r="AA39" s="14">
        <v>0</v>
      </c>
      <c r="AB39" s="14">
        <v>0</v>
      </c>
      <c r="AC39" s="14">
        <v>2</v>
      </c>
      <c r="AD39" s="14">
        <v>0</v>
      </c>
      <c r="AE39" s="14">
        <v>1</v>
      </c>
      <c r="AF39" s="14">
        <v>2</v>
      </c>
      <c r="AG39" s="14" t="s">
        <v>9</v>
      </c>
      <c r="AH39" s="14">
        <v>0</v>
      </c>
      <c r="AI39" s="28">
        <f t="shared" si="9"/>
        <v>17</v>
      </c>
      <c r="AJ39" s="122"/>
    </row>
    <row r="40" spans="1:36" x14ac:dyDescent="0.25">
      <c r="A40" s="90"/>
      <c r="B40" s="127" t="s">
        <v>45</v>
      </c>
      <c r="C40" s="30" t="s">
        <v>46</v>
      </c>
      <c r="D40" s="3">
        <v>14</v>
      </c>
      <c r="E40" s="3" t="s">
        <v>9</v>
      </c>
      <c r="F40" s="3">
        <v>11</v>
      </c>
      <c r="G40" s="3" t="s">
        <v>9</v>
      </c>
      <c r="H40" s="3">
        <v>18</v>
      </c>
      <c r="I40" s="3">
        <v>4</v>
      </c>
      <c r="J40" s="3">
        <v>7</v>
      </c>
      <c r="K40" s="3" t="s">
        <v>9</v>
      </c>
      <c r="L40" s="3" t="s">
        <v>9</v>
      </c>
      <c r="M40" s="3">
        <v>3</v>
      </c>
      <c r="N40" s="3">
        <v>7</v>
      </c>
      <c r="O40" s="3">
        <v>3</v>
      </c>
      <c r="P40" s="3">
        <v>3</v>
      </c>
      <c r="Q40" s="3">
        <v>5</v>
      </c>
      <c r="R40" s="17">
        <v>8</v>
      </c>
      <c r="S40" s="3" t="s">
        <v>9</v>
      </c>
      <c r="T40" s="3">
        <v>3</v>
      </c>
      <c r="U40" s="3">
        <v>0</v>
      </c>
      <c r="V40" s="3">
        <v>2</v>
      </c>
      <c r="W40" s="17">
        <v>11</v>
      </c>
      <c r="X40" s="3">
        <v>4</v>
      </c>
      <c r="Y40" s="3" t="s">
        <v>9</v>
      </c>
      <c r="Z40" s="3" t="s">
        <v>9</v>
      </c>
      <c r="AA40" s="3">
        <v>4</v>
      </c>
      <c r="AB40" s="3">
        <v>8</v>
      </c>
      <c r="AC40" s="3">
        <v>4</v>
      </c>
      <c r="AD40" s="3">
        <v>5</v>
      </c>
      <c r="AE40" s="3">
        <v>4</v>
      </c>
      <c r="AF40" s="3">
        <v>7</v>
      </c>
      <c r="AG40" s="3" t="s">
        <v>9</v>
      </c>
      <c r="AH40" s="3">
        <v>5</v>
      </c>
      <c r="AI40" s="28">
        <f>SUM(D40:AH40)</f>
        <v>140</v>
      </c>
      <c r="AJ40" s="86"/>
    </row>
    <row r="41" spans="1:36" ht="13.5" thickBot="1" x14ac:dyDescent="0.3">
      <c r="A41" s="91"/>
      <c r="B41" s="128"/>
      <c r="C41" s="31" t="s">
        <v>47</v>
      </c>
      <c r="D41" s="8">
        <v>1</v>
      </c>
      <c r="E41" s="8" t="s">
        <v>9</v>
      </c>
      <c r="F41" s="8">
        <v>0</v>
      </c>
      <c r="G41" s="8" t="s">
        <v>9</v>
      </c>
      <c r="H41" s="8">
        <v>0</v>
      </c>
      <c r="I41" s="8">
        <v>0</v>
      </c>
      <c r="J41" s="8">
        <v>1</v>
      </c>
      <c r="K41" s="8" t="s">
        <v>9</v>
      </c>
      <c r="L41" s="8" t="s">
        <v>9</v>
      </c>
      <c r="M41" s="8">
        <v>0</v>
      </c>
      <c r="N41" s="8">
        <v>1</v>
      </c>
      <c r="O41" s="8">
        <v>0</v>
      </c>
      <c r="P41" s="8">
        <v>1</v>
      </c>
      <c r="Q41" s="8">
        <v>0</v>
      </c>
      <c r="R41" s="21">
        <v>0</v>
      </c>
      <c r="S41" s="8" t="s">
        <v>9</v>
      </c>
      <c r="T41" s="8">
        <v>0</v>
      </c>
      <c r="U41" s="8">
        <v>1</v>
      </c>
      <c r="V41" s="8">
        <v>0</v>
      </c>
      <c r="W41" s="21">
        <v>0</v>
      </c>
      <c r="X41" s="8">
        <v>0</v>
      </c>
      <c r="Y41" s="8" t="s">
        <v>9</v>
      </c>
      <c r="Z41" s="8" t="s">
        <v>9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 t="s">
        <v>9</v>
      </c>
      <c r="AH41" s="8">
        <v>0</v>
      </c>
      <c r="AI41" s="26">
        <f>SUM(D41:AH41)</f>
        <v>5</v>
      </c>
      <c r="AJ41" s="87"/>
    </row>
    <row r="42" spans="1:36" x14ac:dyDescent="0.25">
      <c r="A42" s="89" t="s">
        <v>34</v>
      </c>
      <c r="B42" s="124" t="s">
        <v>18</v>
      </c>
      <c r="C42" s="29" t="s">
        <v>48</v>
      </c>
      <c r="D42" s="7" t="s">
        <v>9</v>
      </c>
      <c r="E42" s="7" t="s">
        <v>9</v>
      </c>
      <c r="F42" s="7">
        <v>5</v>
      </c>
      <c r="G42" s="7">
        <v>3</v>
      </c>
      <c r="H42" s="7">
        <v>37</v>
      </c>
      <c r="I42" s="7">
        <v>27</v>
      </c>
      <c r="J42" s="7">
        <v>15</v>
      </c>
      <c r="K42" s="7">
        <v>10</v>
      </c>
      <c r="L42" s="7" t="s">
        <v>9</v>
      </c>
      <c r="M42" s="7">
        <v>0</v>
      </c>
      <c r="N42" s="7">
        <v>0</v>
      </c>
      <c r="O42" s="7">
        <v>0</v>
      </c>
      <c r="P42" s="7">
        <v>4</v>
      </c>
      <c r="Q42" s="7">
        <v>10</v>
      </c>
      <c r="R42" s="7" t="s">
        <v>9</v>
      </c>
      <c r="S42" s="7" t="s">
        <v>9</v>
      </c>
      <c r="T42" s="7">
        <v>0</v>
      </c>
      <c r="U42" s="7">
        <v>6</v>
      </c>
      <c r="V42" s="7">
        <v>8</v>
      </c>
      <c r="W42" s="7">
        <v>3</v>
      </c>
      <c r="X42" s="7">
        <v>6</v>
      </c>
      <c r="Y42" s="7">
        <v>2</v>
      </c>
      <c r="Z42" s="7" t="s">
        <v>9</v>
      </c>
      <c r="AA42" s="7">
        <v>9</v>
      </c>
      <c r="AB42" s="7">
        <v>13</v>
      </c>
      <c r="AC42" s="7">
        <v>7</v>
      </c>
      <c r="AD42" s="7">
        <v>20</v>
      </c>
      <c r="AE42" s="7">
        <v>4</v>
      </c>
      <c r="AF42" s="7" t="s">
        <v>9</v>
      </c>
      <c r="AG42" s="7" t="s">
        <v>9</v>
      </c>
      <c r="AH42" s="7">
        <v>5</v>
      </c>
      <c r="AI42" s="27">
        <f>SUM(D42:AH42)</f>
        <v>194</v>
      </c>
      <c r="AJ42" s="85">
        <f>SUM(AI42:AI47)</f>
        <v>380</v>
      </c>
    </row>
    <row r="43" spans="1:36" x14ac:dyDescent="0.25">
      <c r="A43" s="121"/>
      <c r="B43" s="125"/>
      <c r="C43" s="32" t="s">
        <v>50</v>
      </c>
      <c r="D43" s="14" t="s">
        <v>9</v>
      </c>
      <c r="E43" s="14" t="s">
        <v>9</v>
      </c>
      <c r="F43" s="14">
        <v>1</v>
      </c>
      <c r="G43" s="14">
        <v>1</v>
      </c>
      <c r="H43" s="14">
        <v>0</v>
      </c>
      <c r="I43" s="14">
        <v>4</v>
      </c>
      <c r="J43" s="14">
        <v>3</v>
      </c>
      <c r="K43" s="14">
        <v>1</v>
      </c>
      <c r="L43" s="14" t="s">
        <v>9</v>
      </c>
      <c r="M43" s="14">
        <v>3</v>
      </c>
      <c r="N43" s="14">
        <v>0</v>
      </c>
      <c r="O43" s="14">
        <v>1</v>
      </c>
      <c r="P43" s="14">
        <v>4</v>
      </c>
      <c r="Q43" s="14">
        <v>2</v>
      </c>
      <c r="R43" s="14" t="s">
        <v>9</v>
      </c>
      <c r="S43" s="14" t="s">
        <v>9</v>
      </c>
      <c r="T43" s="14">
        <v>3</v>
      </c>
      <c r="U43" s="14">
        <v>0</v>
      </c>
      <c r="V43" s="14">
        <v>2</v>
      </c>
      <c r="W43" s="14">
        <v>4</v>
      </c>
      <c r="X43" s="14">
        <v>3</v>
      </c>
      <c r="Y43" s="14">
        <v>3</v>
      </c>
      <c r="Z43" s="14" t="s">
        <v>9</v>
      </c>
      <c r="AA43" s="14">
        <v>1</v>
      </c>
      <c r="AB43" s="14">
        <v>1</v>
      </c>
      <c r="AC43" s="14">
        <v>0</v>
      </c>
      <c r="AD43" s="14">
        <v>5</v>
      </c>
      <c r="AE43" s="14">
        <v>3</v>
      </c>
      <c r="AF43" s="14" t="s">
        <v>9</v>
      </c>
      <c r="AG43" s="14" t="s">
        <v>9</v>
      </c>
      <c r="AH43" s="14">
        <v>6</v>
      </c>
      <c r="AI43" s="28">
        <f t="shared" ref="AI43:AI45" si="10">SUM(D43:AH43)</f>
        <v>51</v>
      </c>
      <c r="AJ43" s="122"/>
    </row>
    <row r="44" spans="1:36" x14ac:dyDescent="0.25">
      <c r="A44" s="121"/>
      <c r="B44" s="125"/>
      <c r="C44" s="32" t="s">
        <v>49</v>
      </c>
      <c r="D44" s="14" t="s">
        <v>9</v>
      </c>
      <c r="E44" s="14" t="s">
        <v>9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 t="s">
        <v>9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 t="s">
        <v>9</v>
      </c>
      <c r="S44" s="14" t="s">
        <v>9</v>
      </c>
      <c r="T44" s="14">
        <v>0</v>
      </c>
      <c r="U44" s="14">
        <v>1</v>
      </c>
      <c r="V44" s="14">
        <v>0</v>
      </c>
      <c r="W44" s="14">
        <v>0</v>
      </c>
      <c r="X44" s="14">
        <v>0</v>
      </c>
      <c r="Y44" s="14">
        <v>0</v>
      </c>
      <c r="Z44" s="14" t="s">
        <v>9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 t="s">
        <v>9</v>
      </c>
      <c r="AG44" s="14" t="s">
        <v>9</v>
      </c>
      <c r="AH44" s="14">
        <v>0</v>
      </c>
      <c r="AI44" s="28">
        <f t="shared" si="10"/>
        <v>1</v>
      </c>
      <c r="AJ44" s="122"/>
    </row>
    <row r="45" spans="1:36" x14ac:dyDescent="0.25">
      <c r="A45" s="121"/>
      <c r="B45" s="126"/>
      <c r="C45" s="32" t="s">
        <v>51</v>
      </c>
      <c r="D45" s="14" t="s">
        <v>9</v>
      </c>
      <c r="E45" s="14" t="s">
        <v>9</v>
      </c>
      <c r="F45" s="14">
        <v>0</v>
      </c>
      <c r="G45" s="14">
        <v>0</v>
      </c>
      <c r="H45" s="14">
        <v>1</v>
      </c>
      <c r="I45" s="14">
        <v>0</v>
      </c>
      <c r="J45" s="14">
        <v>2</v>
      </c>
      <c r="K45" s="14">
        <v>1</v>
      </c>
      <c r="L45" s="14" t="s">
        <v>9</v>
      </c>
      <c r="M45" s="14">
        <v>1</v>
      </c>
      <c r="N45" s="14">
        <v>3</v>
      </c>
      <c r="O45" s="14">
        <v>3</v>
      </c>
      <c r="P45" s="14">
        <v>2</v>
      </c>
      <c r="Q45" s="14">
        <v>0</v>
      </c>
      <c r="R45" s="14" t="s">
        <v>9</v>
      </c>
      <c r="S45" s="14" t="s">
        <v>9</v>
      </c>
      <c r="T45" s="14">
        <v>1</v>
      </c>
      <c r="U45" s="14">
        <v>0</v>
      </c>
      <c r="V45" s="14">
        <v>3</v>
      </c>
      <c r="W45" s="14">
        <v>1</v>
      </c>
      <c r="X45" s="14">
        <v>0</v>
      </c>
      <c r="Y45" s="14">
        <v>1</v>
      </c>
      <c r="Z45" s="14" t="s">
        <v>9</v>
      </c>
      <c r="AA45" s="14">
        <v>1</v>
      </c>
      <c r="AB45" s="14">
        <v>0</v>
      </c>
      <c r="AC45" s="14">
        <v>1</v>
      </c>
      <c r="AD45" s="14">
        <v>1</v>
      </c>
      <c r="AE45" s="14">
        <v>1</v>
      </c>
      <c r="AF45" s="14" t="s">
        <v>9</v>
      </c>
      <c r="AG45" s="14" t="s">
        <v>9</v>
      </c>
      <c r="AH45" s="14">
        <v>3</v>
      </c>
      <c r="AI45" s="28">
        <f t="shared" si="10"/>
        <v>26</v>
      </c>
      <c r="AJ45" s="122"/>
    </row>
    <row r="46" spans="1:36" x14ac:dyDescent="0.25">
      <c r="A46" s="90"/>
      <c r="B46" s="127" t="s">
        <v>45</v>
      </c>
      <c r="C46" s="30" t="s">
        <v>46</v>
      </c>
      <c r="D46" s="3" t="s">
        <v>9</v>
      </c>
      <c r="E46" s="3" t="s">
        <v>9</v>
      </c>
      <c r="F46" s="3">
        <v>1</v>
      </c>
      <c r="G46" s="3">
        <v>8</v>
      </c>
      <c r="H46" s="3">
        <v>8</v>
      </c>
      <c r="I46" s="3">
        <v>2</v>
      </c>
      <c r="J46" s="3">
        <v>8</v>
      </c>
      <c r="K46" s="3">
        <v>2</v>
      </c>
      <c r="L46" s="3" t="s">
        <v>9</v>
      </c>
      <c r="M46" s="3">
        <v>5</v>
      </c>
      <c r="N46" s="3">
        <v>5</v>
      </c>
      <c r="O46" s="3">
        <v>5</v>
      </c>
      <c r="P46" s="3">
        <v>4</v>
      </c>
      <c r="Q46" s="3">
        <v>5</v>
      </c>
      <c r="R46" s="3" t="s">
        <v>9</v>
      </c>
      <c r="S46" s="3" t="s">
        <v>9</v>
      </c>
      <c r="T46" s="3">
        <v>4</v>
      </c>
      <c r="U46" s="3">
        <v>2</v>
      </c>
      <c r="V46" s="3">
        <v>5</v>
      </c>
      <c r="W46" s="3">
        <v>5</v>
      </c>
      <c r="X46" s="3">
        <v>3</v>
      </c>
      <c r="Y46" s="3">
        <v>5</v>
      </c>
      <c r="Z46" s="3" t="s">
        <v>9</v>
      </c>
      <c r="AA46" s="3">
        <v>2</v>
      </c>
      <c r="AB46" s="3">
        <v>3</v>
      </c>
      <c r="AC46" s="3">
        <v>4</v>
      </c>
      <c r="AD46" s="3">
        <v>5</v>
      </c>
      <c r="AE46" s="3">
        <v>6</v>
      </c>
      <c r="AF46" s="3" t="s">
        <v>9</v>
      </c>
      <c r="AG46" s="3" t="s">
        <v>9</v>
      </c>
      <c r="AH46" s="3">
        <v>10</v>
      </c>
      <c r="AI46" s="28">
        <f>SUM(D46:AH46)</f>
        <v>107</v>
      </c>
      <c r="AJ46" s="86"/>
    </row>
    <row r="47" spans="1:36" ht="13.5" thickBot="1" x14ac:dyDescent="0.3">
      <c r="A47" s="91"/>
      <c r="B47" s="128"/>
      <c r="C47" s="31" t="s">
        <v>47</v>
      </c>
      <c r="D47" s="8" t="s">
        <v>9</v>
      </c>
      <c r="E47" s="8" t="s">
        <v>9</v>
      </c>
      <c r="F47" s="8">
        <v>0</v>
      </c>
      <c r="G47" s="8">
        <v>0</v>
      </c>
      <c r="H47" s="8">
        <v>0</v>
      </c>
      <c r="I47" s="8">
        <v>0</v>
      </c>
      <c r="J47" s="8">
        <v>1</v>
      </c>
      <c r="K47" s="8">
        <v>0</v>
      </c>
      <c r="L47" s="8" t="s">
        <v>9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 t="s">
        <v>9</v>
      </c>
      <c r="S47" s="8" t="s">
        <v>9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 t="s">
        <v>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9</v>
      </c>
      <c r="AG47" s="8" t="s">
        <v>9</v>
      </c>
      <c r="AH47" s="8">
        <v>0</v>
      </c>
      <c r="AI47" s="26">
        <f>SUM(D47:AH47)</f>
        <v>1</v>
      </c>
      <c r="AJ47" s="87"/>
    </row>
    <row r="48" spans="1:36" x14ac:dyDescent="0.25">
      <c r="A48" s="142" t="s">
        <v>22</v>
      </c>
      <c r="B48" s="124" t="s">
        <v>18</v>
      </c>
      <c r="C48" s="29" t="s">
        <v>48</v>
      </c>
      <c r="D48" s="7" t="s">
        <v>9</v>
      </c>
      <c r="E48" s="7" t="s">
        <v>9</v>
      </c>
      <c r="F48" s="7">
        <v>15</v>
      </c>
      <c r="G48" s="7" t="s">
        <v>9</v>
      </c>
      <c r="H48" s="7">
        <v>22</v>
      </c>
      <c r="I48" s="7">
        <v>32</v>
      </c>
      <c r="J48" s="7">
        <v>23</v>
      </c>
      <c r="K48" s="7">
        <v>1</v>
      </c>
      <c r="L48" s="7" t="s">
        <v>9</v>
      </c>
      <c r="M48" s="7">
        <v>2</v>
      </c>
      <c r="N48" s="7">
        <v>0</v>
      </c>
      <c r="O48" s="7">
        <v>1</v>
      </c>
      <c r="P48" s="7">
        <v>10</v>
      </c>
      <c r="Q48" s="7">
        <v>0</v>
      </c>
      <c r="R48" s="7" t="s">
        <v>9</v>
      </c>
      <c r="S48" s="7" t="s">
        <v>9</v>
      </c>
      <c r="T48" s="7">
        <v>0</v>
      </c>
      <c r="U48" s="7">
        <v>6</v>
      </c>
      <c r="V48" s="7">
        <v>8</v>
      </c>
      <c r="W48" s="7">
        <v>9</v>
      </c>
      <c r="X48" s="7">
        <v>0</v>
      </c>
      <c r="Y48" s="7">
        <v>0</v>
      </c>
      <c r="Z48" s="7" t="s">
        <v>9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 t="s">
        <v>9</v>
      </c>
      <c r="AG48" s="7" t="s">
        <v>9</v>
      </c>
      <c r="AH48" s="7">
        <v>7</v>
      </c>
      <c r="AI48" s="27">
        <f>SUM(D48:AH48)</f>
        <v>136</v>
      </c>
      <c r="AJ48" s="85">
        <f>SUM(AI48:AI53)</f>
        <v>547</v>
      </c>
    </row>
    <row r="49" spans="1:36" x14ac:dyDescent="0.25">
      <c r="A49" s="143"/>
      <c r="B49" s="125"/>
      <c r="C49" s="32" t="s">
        <v>50</v>
      </c>
      <c r="D49" s="14" t="s">
        <v>9</v>
      </c>
      <c r="E49" s="14" t="s">
        <v>9</v>
      </c>
      <c r="F49" s="14">
        <v>3</v>
      </c>
      <c r="G49" s="14" t="s">
        <v>9</v>
      </c>
      <c r="H49" s="14">
        <v>3</v>
      </c>
      <c r="I49" s="14">
        <v>1</v>
      </c>
      <c r="J49" s="14">
        <v>2</v>
      </c>
      <c r="K49" s="14">
        <v>6</v>
      </c>
      <c r="L49" s="14" t="s">
        <v>9</v>
      </c>
      <c r="M49" s="14">
        <v>8</v>
      </c>
      <c r="N49" s="14">
        <v>3</v>
      </c>
      <c r="O49" s="14">
        <v>4</v>
      </c>
      <c r="P49" s="14">
        <v>5</v>
      </c>
      <c r="Q49" s="14">
        <v>1</v>
      </c>
      <c r="R49" s="14" t="s">
        <v>9</v>
      </c>
      <c r="S49" s="14" t="s">
        <v>9</v>
      </c>
      <c r="T49" s="14">
        <v>3</v>
      </c>
      <c r="U49" s="14">
        <v>6</v>
      </c>
      <c r="V49" s="14">
        <v>0</v>
      </c>
      <c r="W49" s="14">
        <v>5</v>
      </c>
      <c r="X49" s="14">
        <v>2</v>
      </c>
      <c r="Y49" s="14">
        <v>3</v>
      </c>
      <c r="Z49" s="14" t="s">
        <v>9</v>
      </c>
      <c r="AA49" s="14">
        <v>8</v>
      </c>
      <c r="AB49" s="14">
        <v>8</v>
      </c>
      <c r="AC49" s="14">
        <v>2</v>
      </c>
      <c r="AD49" s="14">
        <v>9</v>
      </c>
      <c r="AE49" s="14">
        <v>2</v>
      </c>
      <c r="AF49" s="14" t="s">
        <v>9</v>
      </c>
      <c r="AG49" s="14" t="s">
        <v>9</v>
      </c>
      <c r="AH49" s="14">
        <v>1</v>
      </c>
      <c r="AI49" s="28">
        <f t="shared" ref="AI49:AI51" si="11">SUM(D49:AH49)</f>
        <v>85</v>
      </c>
      <c r="AJ49" s="122"/>
    </row>
    <row r="50" spans="1:36" x14ac:dyDescent="0.25">
      <c r="A50" s="143"/>
      <c r="B50" s="125"/>
      <c r="C50" s="32" t="s">
        <v>49</v>
      </c>
      <c r="D50" s="14" t="s">
        <v>9</v>
      </c>
      <c r="E50" s="14" t="s">
        <v>9</v>
      </c>
      <c r="F50" s="14">
        <v>0</v>
      </c>
      <c r="G50" s="14" t="s">
        <v>9</v>
      </c>
      <c r="H50" s="14">
        <v>0</v>
      </c>
      <c r="I50" s="14">
        <v>0</v>
      </c>
      <c r="J50" s="14">
        <v>0</v>
      </c>
      <c r="K50" s="14">
        <v>0</v>
      </c>
      <c r="L50" s="14" t="s">
        <v>9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 t="s">
        <v>9</v>
      </c>
      <c r="S50" s="14" t="s">
        <v>9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 t="s">
        <v>9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 t="s">
        <v>9</v>
      </c>
      <c r="AG50" s="14" t="s">
        <v>9</v>
      </c>
      <c r="AH50" s="14">
        <v>0</v>
      </c>
      <c r="AI50" s="28">
        <f t="shared" si="11"/>
        <v>0</v>
      </c>
      <c r="AJ50" s="122"/>
    </row>
    <row r="51" spans="1:36" x14ac:dyDescent="0.25">
      <c r="A51" s="143"/>
      <c r="B51" s="126"/>
      <c r="C51" s="32" t="s">
        <v>51</v>
      </c>
      <c r="D51" s="14" t="s">
        <v>9</v>
      </c>
      <c r="E51" s="14" t="s">
        <v>9</v>
      </c>
      <c r="F51" s="14">
        <v>0</v>
      </c>
      <c r="G51" s="14" t="s">
        <v>9</v>
      </c>
      <c r="H51" s="14">
        <v>0</v>
      </c>
      <c r="I51" s="14">
        <v>1</v>
      </c>
      <c r="J51" s="14">
        <v>2</v>
      </c>
      <c r="K51" s="14">
        <v>3</v>
      </c>
      <c r="L51" s="14" t="s">
        <v>9</v>
      </c>
      <c r="M51" s="14">
        <v>1</v>
      </c>
      <c r="N51" s="14">
        <v>2</v>
      </c>
      <c r="O51" s="14">
        <v>2</v>
      </c>
      <c r="P51" s="14">
        <v>2</v>
      </c>
      <c r="Q51" s="14">
        <v>1</v>
      </c>
      <c r="R51" s="14" t="s">
        <v>9</v>
      </c>
      <c r="S51" s="14" t="s">
        <v>9</v>
      </c>
      <c r="T51" s="14">
        <v>0</v>
      </c>
      <c r="U51" s="14">
        <v>2</v>
      </c>
      <c r="V51" s="14">
        <v>1</v>
      </c>
      <c r="W51" s="14">
        <v>2</v>
      </c>
      <c r="X51" s="14">
        <v>0</v>
      </c>
      <c r="Y51" s="14">
        <v>2</v>
      </c>
      <c r="Z51" s="14" t="s">
        <v>9</v>
      </c>
      <c r="AA51" s="14">
        <v>3</v>
      </c>
      <c r="AB51" s="14">
        <v>2</v>
      </c>
      <c r="AC51" s="14">
        <v>3</v>
      </c>
      <c r="AD51" s="14">
        <v>1</v>
      </c>
      <c r="AE51" s="14">
        <v>0</v>
      </c>
      <c r="AF51" s="14" t="s">
        <v>9</v>
      </c>
      <c r="AG51" s="14" t="s">
        <v>9</v>
      </c>
      <c r="AH51" s="14">
        <v>2</v>
      </c>
      <c r="AI51" s="28">
        <f t="shared" si="11"/>
        <v>32</v>
      </c>
      <c r="AJ51" s="122"/>
    </row>
    <row r="52" spans="1:36" x14ac:dyDescent="0.25">
      <c r="A52" s="143"/>
      <c r="B52" s="127" t="s">
        <v>45</v>
      </c>
      <c r="C52" s="30" t="s">
        <v>46</v>
      </c>
      <c r="D52" s="3" t="s">
        <v>9</v>
      </c>
      <c r="E52" s="3" t="s">
        <v>9</v>
      </c>
      <c r="F52" s="3">
        <v>0</v>
      </c>
      <c r="G52" s="3" t="s">
        <v>9</v>
      </c>
      <c r="H52" s="3">
        <v>6</v>
      </c>
      <c r="I52" s="3">
        <v>4</v>
      </c>
      <c r="J52" s="3">
        <v>4</v>
      </c>
      <c r="K52" s="3">
        <v>5</v>
      </c>
      <c r="L52" s="3" t="s">
        <v>9</v>
      </c>
      <c r="M52" s="3">
        <v>5</v>
      </c>
      <c r="N52" s="3">
        <v>8</v>
      </c>
      <c r="O52" s="3">
        <v>4</v>
      </c>
      <c r="P52" s="3">
        <v>4</v>
      </c>
      <c r="Q52" s="3">
        <v>5</v>
      </c>
      <c r="R52" s="3" t="s">
        <v>9</v>
      </c>
      <c r="S52" s="3" t="s">
        <v>9</v>
      </c>
      <c r="T52" s="3">
        <v>2</v>
      </c>
      <c r="U52" s="3">
        <v>2</v>
      </c>
      <c r="V52" s="3">
        <v>3</v>
      </c>
      <c r="W52" s="3">
        <v>6</v>
      </c>
      <c r="X52" s="3">
        <v>4</v>
      </c>
      <c r="Y52" s="3">
        <v>105</v>
      </c>
      <c r="Z52" s="3" t="s">
        <v>9</v>
      </c>
      <c r="AA52" s="3">
        <v>55</v>
      </c>
      <c r="AB52" s="3">
        <v>5</v>
      </c>
      <c r="AC52" s="3">
        <v>33</v>
      </c>
      <c r="AD52" s="3">
        <v>17</v>
      </c>
      <c r="AE52" s="3">
        <v>1</v>
      </c>
      <c r="AF52" s="3" t="s">
        <v>9</v>
      </c>
      <c r="AG52" s="3" t="s">
        <v>9</v>
      </c>
      <c r="AH52" s="3">
        <v>9</v>
      </c>
      <c r="AI52" s="28">
        <f>SUM(D52:AH52)</f>
        <v>287</v>
      </c>
      <c r="AJ52" s="86"/>
    </row>
    <row r="53" spans="1:36" ht="13.5" thickBot="1" x14ac:dyDescent="0.3">
      <c r="A53" s="144"/>
      <c r="B53" s="128"/>
      <c r="C53" s="31" t="s">
        <v>47</v>
      </c>
      <c r="D53" s="8" t="s">
        <v>9</v>
      </c>
      <c r="E53" s="8" t="s">
        <v>9</v>
      </c>
      <c r="F53" s="8">
        <v>0</v>
      </c>
      <c r="G53" s="8" t="s">
        <v>9</v>
      </c>
      <c r="H53" s="8">
        <v>1</v>
      </c>
      <c r="I53" s="8">
        <v>0</v>
      </c>
      <c r="J53" s="8">
        <v>0</v>
      </c>
      <c r="K53" s="8">
        <v>0</v>
      </c>
      <c r="L53" s="8" t="s">
        <v>9</v>
      </c>
      <c r="M53" s="8">
        <v>2</v>
      </c>
      <c r="N53" s="8">
        <v>0</v>
      </c>
      <c r="O53" s="8">
        <v>0</v>
      </c>
      <c r="P53" s="8">
        <v>0</v>
      </c>
      <c r="Q53" s="8">
        <v>0</v>
      </c>
      <c r="R53" s="8" t="s">
        <v>9</v>
      </c>
      <c r="S53" s="8" t="s">
        <v>9</v>
      </c>
      <c r="T53" s="8">
        <v>1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 t="s">
        <v>9</v>
      </c>
      <c r="AA53" s="8">
        <v>2</v>
      </c>
      <c r="AB53" s="8">
        <v>0</v>
      </c>
      <c r="AC53" s="8">
        <v>0</v>
      </c>
      <c r="AD53" s="8">
        <v>0</v>
      </c>
      <c r="AE53" s="8">
        <v>0</v>
      </c>
      <c r="AF53" s="8" t="s">
        <v>9</v>
      </c>
      <c r="AG53" s="8" t="s">
        <v>9</v>
      </c>
      <c r="AH53" s="8">
        <v>0</v>
      </c>
      <c r="AI53" s="26">
        <f>SUM(D53:AH53)</f>
        <v>7</v>
      </c>
      <c r="AJ53" s="87"/>
    </row>
    <row r="54" spans="1:36" x14ac:dyDescent="0.25">
      <c r="A54" s="124" t="s">
        <v>52</v>
      </c>
      <c r="B54" s="124" t="s">
        <v>18</v>
      </c>
      <c r="C54" s="29" t="s">
        <v>48</v>
      </c>
      <c r="D54" s="7">
        <v>0</v>
      </c>
      <c r="E54" s="7" t="s">
        <v>9</v>
      </c>
      <c r="F54" s="7">
        <v>5</v>
      </c>
      <c r="G54" s="7" t="s">
        <v>9</v>
      </c>
      <c r="H54" s="7">
        <v>29</v>
      </c>
      <c r="I54" s="7">
        <v>39</v>
      </c>
      <c r="J54" s="7">
        <v>13</v>
      </c>
      <c r="K54" s="7">
        <v>3</v>
      </c>
      <c r="L54" s="7" t="s">
        <v>9</v>
      </c>
      <c r="M54" s="7">
        <v>9</v>
      </c>
      <c r="N54" s="7">
        <v>1</v>
      </c>
      <c r="O54" s="7">
        <v>1</v>
      </c>
      <c r="P54" s="7">
        <v>1</v>
      </c>
      <c r="Q54" s="7">
        <v>3</v>
      </c>
      <c r="R54" s="7" t="s">
        <v>9</v>
      </c>
      <c r="S54" s="7" t="s">
        <v>9</v>
      </c>
      <c r="T54" s="7">
        <v>9</v>
      </c>
      <c r="U54" s="7">
        <v>1</v>
      </c>
      <c r="V54" s="7">
        <v>11</v>
      </c>
      <c r="W54" s="7">
        <v>3</v>
      </c>
      <c r="X54" s="7">
        <v>9</v>
      </c>
      <c r="Y54" s="7" t="s">
        <v>9</v>
      </c>
      <c r="Z54" s="7" t="s">
        <v>9</v>
      </c>
      <c r="AA54" s="7">
        <v>11</v>
      </c>
      <c r="AB54" s="7">
        <v>12</v>
      </c>
      <c r="AC54" s="7">
        <v>10</v>
      </c>
      <c r="AD54" s="7">
        <f>15+6</f>
        <v>21</v>
      </c>
      <c r="AE54" s="7">
        <v>6</v>
      </c>
      <c r="AF54" s="7">
        <v>5</v>
      </c>
      <c r="AG54" s="7" t="s">
        <v>9</v>
      </c>
      <c r="AH54" s="7">
        <v>13</v>
      </c>
      <c r="AI54" s="27">
        <f>SUM(D54:AH54)</f>
        <v>215</v>
      </c>
      <c r="AJ54" s="85">
        <f>SUM(AI54:AI59)</f>
        <v>376</v>
      </c>
    </row>
    <row r="55" spans="1:36" ht="15" customHeight="1" x14ac:dyDescent="0.25">
      <c r="A55" s="125"/>
      <c r="B55" s="125"/>
      <c r="C55" s="32" t="s">
        <v>50</v>
      </c>
      <c r="D55" s="14">
        <v>4</v>
      </c>
      <c r="E55" s="14" t="s">
        <v>9</v>
      </c>
      <c r="F55" s="14">
        <v>2</v>
      </c>
      <c r="G55" s="14" t="s">
        <v>9</v>
      </c>
      <c r="H55" s="14">
        <v>0</v>
      </c>
      <c r="I55" s="14">
        <v>2</v>
      </c>
      <c r="J55" s="14">
        <v>4</v>
      </c>
      <c r="K55" s="14">
        <v>2</v>
      </c>
      <c r="L55" s="14" t="s">
        <v>9</v>
      </c>
      <c r="M55" s="14">
        <v>0</v>
      </c>
      <c r="N55" s="14">
        <v>6</v>
      </c>
      <c r="O55" s="14">
        <v>2</v>
      </c>
      <c r="P55" s="14">
        <v>0</v>
      </c>
      <c r="Q55" s="14">
        <v>0</v>
      </c>
      <c r="R55" s="14" t="s">
        <v>9</v>
      </c>
      <c r="S55" s="14" t="s">
        <v>9</v>
      </c>
      <c r="T55" s="14">
        <v>1</v>
      </c>
      <c r="U55" s="14">
        <v>3</v>
      </c>
      <c r="V55" s="14">
        <v>4</v>
      </c>
      <c r="W55" s="14">
        <v>3</v>
      </c>
      <c r="X55" s="14">
        <v>0</v>
      </c>
      <c r="Y55" s="14" t="s">
        <v>9</v>
      </c>
      <c r="Z55" s="14" t="s">
        <v>9</v>
      </c>
      <c r="AA55" s="14">
        <v>2</v>
      </c>
      <c r="AB55" s="14">
        <v>2</v>
      </c>
      <c r="AC55" s="14">
        <v>1</v>
      </c>
      <c r="AD55" s="14">
        <v>2</v>
      </c>
      <c r="AE55" s="14">
        <v>1</v>
      </c>
      <c r="AF55" s="14">
        <v>1</v>
      </c>
      <c r="AG55" s="14" t="s">
        <v>9</v>
      </c>
      <c r="AH55" s="14">
        <v>2</v>
      </c>
      <c r="AI55" s="28">
        <f t="shared" ref="AI55:AI57" si="12">SUM(D55:AH55)</f>
        <v>44</v>
      </c>
      <c r="AJ55" s="122"/>
    </row>
    <row r="56" spans="1:36" ht="15" customHeight="1" x14ac:dyDescent="0.25">
      <c r="A56" s="125"/>
      <c r="B56" s="125"/>
      <c r="C56" s="32" t="s">
        <v>49</v>
      </c>
      <c r="D56" s="14">
        <v>0</v>
      </c>
      <c r="E56" s="14" t="s">
        <v>9</v>
      </c>
      <c r="F56" s="14">
        <v>0</v>
      </c>
      <c r="G56" s="14" t="s">
        <v>9</v>
      </c>
      <c r="H56" s="14">
        <v>0</v>
      </c>
      <c r="I56" s="14">
        <v>0</v>
      </c>
      <c r="J56" s="14">
        <v>0</v>
      </c>
      <c r="K56" s="14">
        <v>0</v>
      </c>
      <c r="L56" s="14" t="s">
        <v>9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 t="s">
        <v>9</v>
      </c>
      <c r="S56" s="14" t="s">
        <v>9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 t="s">
        <v>9</v>
      </c>
      <c r="Z56" s="14" t="s">
        <v>9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 t="s">
        <v>9</v>
      </c>
      <c r="AH56" s="14">
        <v>0</v>
      </c>
      <c r="AI56" s="28">
        <f t="shared" si="12"/>
        <v>0</v>
      </c>
      <c r="AJ56" s="122"/>
    </row>
    <row r="57" spans="1:36" ht="15" customHeight="1" x14ac:dyDescent="0.25">
      <c r="A57" s="125"/>
      <c r="B57" s="126"/>
      <c r="C57" s="32" t="s">
        <v>51</v>
      </c>
      <c r="D57" s="14">
        <v>1</v>
      </c>
      <c r="E57" s="14" t="s">
        <v>9</v>
      </c>
      <c r="F57" s="14">
        <v>1</v>
      </c>
      <c r="G57" s="14" t="s">
        <v>9</v>
      </c>
      <c r="H57" s="14">
        <v>0</v>
      </c>
      <c r="I57" s="14">
        <v>0</v>
      </c>
      <c r="J57" s="14">
        <v>1</v>
      </c>
      <c r="K57" s="14">
        <v>1</v>
      </c>
      <c r="L57" s="14" t="s">
        <v>9</v>
      </c>
      <c r="M57" s="14">
        <v>0</v>
      </c>
      <c r="N57" s="14">
        <v>1</v>
      </c>
      <c r="O57" s="14">
        <v>0</v>
      </c>
      <c r="P57" s="14">
        <v>2</v>
      </c>
      <c r="Q57" s="14">
        <v>1</v>
      </c>
      <c r="R57" s="14" t="s">
        <v>9</v>
      </c>
      <c r="S57" s="14" t="s">
        <v>9</v>
      </c>
      <c r="T57" s="14">
        <v>1</v>
      </c>
      <c r="U57" s="14">
        <v>3</v>
      </c>
      <c r="V57" s="14">
        <v>1</v>
      </c>
      <c r="W57" s="14">
        <v>0</v>
      </c>
      <c r="X57" s="14">
        <v>0</v>
      </c>
      <c r="Y57" s="14" t="s">
        <v>9</v>
      </c>
      <c r="Z57" s="14" t="s">
        <v>9</v>
      </c>
      <c r="AA57" s="14">
        <v>1</v>
      </c>
      <c r="AB57" s="14">
        <v>1</v>
      </c>
      <c r="AC57" s="14">
        <v>0</v>
      </c>
      <c r="AD57" s="14">
        <v>0</v>
      </c>
      <c r="AE57" s="14">
        <v>1</v>
      </c>
      <c r="AF57" s="14">
        <v>1</v>
      </c>
      <c r="AG57" s="14" t="s">
        <v>9</v>
      </c>
      <c r="AH57" s="14">
        <v>1</v>
      </c>
      <c r="AI57" s="28">
        <f t="shared" si="12"/>
        <v>18</v>
      </c>
      <c r="AJ57" s="122"/>
    </row>
    <row r="58" spans="1:36" x14ac:dyDescent="0.25">
      <c r="A58" s="125"/>
      <c r="B58" s="127" t="s">
        <v>45</v>
      </c>
      <c r="C58" s="30" t="s">
        <v>46</v>
      </c>
      <c r="D58" s="3">
        <v>7</v>
      </c>
      <c r="E58" s="3" t="s">
        <v>9</v>
      </c>
      <c r="F58" s="3">
        <v>6</v>
      </c>
      <c r="G58" s="3" t="s">
        <v>9</v>
      </c>
      <c r="H58" s="3">
        <v>13</v>
      </c>
      <c r="I58" s="3">
        <v>5</v>
      </c>
      <c r="J58" s="3">
        <v>6</v>
      </c>
      <c r="K58" s="3">
        <v>4</v>
      </c>
      <c r="L58" s="3" t="s">
        <v>9</v>
      </c>
      <c r="M58" s="3">
        <v>0</v>
      </c>
      <c r="N58" s="3">
        <v>3</v>
      </c>
      <c r="O58" s="3">
        <v>3</v>
      </c>
      <c r="P58" s="3">
        <v>1</v>
      </c>
      <c r="Q58" s="3">
        <v>3</v>
      </c>
      <c r="R58" s="3" t="s">
        <v>9</v>
      </c>
      <c r="S58" s="3" t="s">
        <v>9</v>
      </c>
      <c r="T58" s="3">
        <v>3</v>
      </c>
      <c r="U58" s="3">
        <v>6</v>
      </c>
      <c r="V58" s="3">
        <v>5</v>
      </c>
      <c r="W58" s="3">
        <v>6</v>
      </c>
      <c r="X58" s="3">
        <v>4</v>
      </c>
      <c r="Y58" s="3" t="s">
        <v>9</v>
      </c>
      <c r="Z58" s="3" t="s">
        <v>9</v>
      </c>
      <c r="AA58" s="3">
        <v>3</v>
      </c>
      <c r="AB58" s="3">
        <v>6</v>
      </c>
      <c r="AC58" s="3">
        <v>2</v>
      </c>
      <c r="AD58" s="3">
        <v>1</v>
      </c>
      <c r="AE58" s="3">
        <v>4</v>
      </c>
      <c r="AF58" s="3">
        <v>0</v>
      </c>
      <c r="AG58" s="3" t="s">
        <v>9</v>
      </c>
      <c r="AH58" s="3">
        <v>2</v>
      </c>
      <c r="AI58" s="28">
        <f>SUM(D58:AH58)</f>
        <v>93</v>
      </c>
      <c r="AJ58" s="86"/>
    </row>
    <row r="59" spans="1:36" ht="13.5" thickBot="1" x14ac:dyDescent="0.3">
      <c r="A59" s="128"/>
      <c r="B59" s="128"/>
      <c r="C59" s="31" t="s">
        <v>47</v>
      </c>
      <c r="D59" s="8">
        <v>1</v>
      </c>
      <c r="E59" s="8" t="s">
        <v>9</v>
      </c>
      <c r="F59" s="8">
        <v>0</v>
      </c>
      <c r="G59" s="8" t="s">
        <v>9</v>
      </c>
      <c r="H59" s="8">
        <v>0</v>
      </c>
      <c r="I59" s="8">
        <v>1</v>
      </c>
      <c r="J59" s="8">
        <v>0</v>
      </c>
      <c r="K59" s="8">
        <v>1</v>
      </c>
      <c r="L59" s="8" t="s">
        <v>9</v>
      </c>
      <c r="M59" s="8">
        <v>1</v>
      </c>
      <c r="N59" s="8">
        <v>1</v>
      </c>
      <c r="O59" s="8">
        <v>0</v>
      </c>
      <c r="P59" s="8">
        <v>0</v>
      </c>
      <c r="Q59" s="8">
        <v>0</v>
      </c>
      <c r="R59" s="8" t="s">
        <v>9</v>
      </c>
      <c r="S59" s="8" t="s">
        <v>9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 t="s">
        <v>9</v>
      </c>
      <c r="Z59" s="8" t="s">
        <v>9</v>
      </c>
      <c r="AA59" s="8">
        <v>1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 t="s">
        <v>9</v>
      </c>
      <c r="AH59" s="8">
        <v>0</v>
      </c>
      <c r="AI59" s="26">
        <f>SUM(D59:AH59)</f>
        <v>6</v>
      </c>
      <c r="AJ59" s="87"/>
    </row>
    <row r="60" spans="1:36" x14ac:dyDescent="0.25">
      <c r="A60" s="129" t="s">
        <v>31</v>
      </c>
      <c r="B60" s="124" t="s">
        <v>18</v>
      </c>
      <c r="C60" s="29" t="s">
        <v>48</v>
      </c>
      <c r="D60" s="7" t="s">
        <v>9</v>
      </c>
      <c r="E60" s="7" t="s">
        <v>9</v>
      </c>
      <c r="F60" s="7">
        <v>7</v>
      </c>
      <c r="G60" s="7" t="s">
        <v>9</v>
      </c>
      <c r="H60" s="7" t="s">
        <v>9</v>
      </c>
      <c r="I60" s="7">
        <v>13</v>
      </c>
      <c r="J60" s="7">
        <v>22</v>
      </c>
      <c r="K60" s="7">
        <v>11</v>
      </c>
      <c r="L60" s="7" t="s">
        <v>9</v>
      </c>
      <c r="M60" s="7">
        <v>1</v>
      </c>
      <c r="N60" s="7">
        <v>0</v>
      </c>
      <c r="O60" s="20">
        <v>6</v>
      </c>
      <c r="P60" s="7">
        <v>0</v>
      </c>
      <c r="Q60" s="7">
        <v>5</v>
      </c>
      <c r="R60" s="20" t="s">
        <v>9</v>
      </c>
      <c r="S60" s="7" t="s">
        <v>9</v>
      </c>
      <c r="T60" s="7">
        <v>0</v>
      </c>
      <c r="U60" s="7">
        <v>4</v>
      </c>
      <c r="V60" s="7">
        <v>6</v>
      </c>
      <c r="W60" s="7">
        <v>11</v>
      </c>
      <c r="X60" s="7">
        <v>1</v>
      </c>
      <c r="Y60" s="7">
        <v>0</v>
      </c>
      <c r="Z60" s="7" t="s">
        <v>9</v>
      </c>
      <c r="AA60" s="7">
        <v>6</v>
      </c>
      <c r="AB60" s="7">
        <v>9</v>
      </c>
      <c r="AC60" s="7">
        <v>24</v>
      </c>
      <c r="AD60" s="7">
        <v>8</v>
      </c>
      <c r="AE60" s="7">
        <v>1</v>
      </c>
      <c r="AF60" s="7" t="s">
        <v>9</v>
      </c>
      <c r="AG60" s="7" t="s">
        <v>9</v>
      </c>
      <c r="AH60" s="7" t="s">
        <v>9</v>
      </c>
      <c r="AI60" s="27">
        <f>SUM(D60:AH60)</f>
        <v>135</v>
      </c>
      <c r="AJ60" s="85">
        <f>SUM(AI60:AI65)</f>
        <v>311</v>
      </c>
    </row>
    <row r="61" spans="1:36" x14ac:dyDescent="0.25">
      <c r="A61" s="126"/>
      <c r="B61" s="125"/>
      <c r="C61" s="32" t="s">
        <v>50</v>
      </c>
      <c r="D61" s="14" t="s">
        <v>9</v>
      </c>
      <c r="E61" s="14" t="s">
        <v>9</v>
      </c>
      <c r="F61" s="14">
        <v>1</v>
      </c>
      <c r="G61" s="14" t="s">
        <v>9</v>
      </c>
      <c r="H61" s="14" t="s">
        <v>9</v>
      </c>
      <c r="I61" s="14">
        <v>1</v>
      </c>
      <c r="J61" s="14">
        <v>1</v>
      </c>
      <c r="K61" s="14">
        <v>1</v>
      </c>
      <c r="L61" s="14" t="s">
        <v>9</v>
      </c>
      <c r="M61" s="14">
        <v>0</v>
      </c>
      <c r="N61" s="14">
        <v>0</v>
      </c>
      <c r="O61" s="14">
        <v>0</v>
      </c>
      <c r="P61" s="14">
        <v>2</v>
      </c>
      <c r="Q61" s="14">
        <v>1</v>
      </c>
      <c r="R61" s="14" t="s">
        <v>9</v>
      </c>
      <c r="S61" s="14" t="s">
        <v>9</v>
      </c>
      <c r="T61" s="14">
        <v>1</v>
      </c>
      <c r="U61" s="14">
        <v>1</v>
      </c>
      <c r="V61" s="14">
        <v>0</v>
      </c>
      <c r="W61" s="14">
        <v>1</v>
      </c>
      <c r="X61" s="14">
        <v>1</v>
      </c>
      <c r="Y61" s="14">
        <v>1</v>
      </c>
      <c r="Z61" s="14" t="s">
        <v>9</v>
      </c>
      <c r="AA61" s="14">
        <v>0</v>
      </c>
      <c r="AB61" s="14">
        <v>2</v>
      </c>
      <c r="AC61" s="14">
        <v>0</v>
      </c>
      <c r="AD61" s="14">
        <v>1</v>
      </c>
      <c r="AE61" s="14">
        <v>1</v>
      </c>
      <c r="AF61" s="14" t="s">
        <v>9</v>
      </c>
      <c r="AG61" s="14" t="s">
        <v>9</v>
      </c>
      <c r="AH61" s="14" t="s">
        <v>9</v>
      </c>
      <c r="AI61" s="28">
        <f t="shared" ref="AI61:AI63" si="13">SUM(D61:AH61)</f>
        <v>16</v>
      </c>
      <c r="AJ61" s="122"/>
    </row>
    <row r="62" spans="1:36" x14ac:dyDescent="0.25">
      <c r="A62" s="126"/>
      <c r="B62" s="125"/>
      <c r="C62" s="32" t="s">
        <v>49</v>
      </c>
      <c r="D62" s="14" t="s">
        <v>9</v>
      </c>
      <c r="E62" s="14" t="s">
        <v>9</v>
      </c>
      <c r="F62" s="14">
        <v>0</v>
      </c>
      <c r="G62" s="14" t="s">
        <v>9</v>
      </c>
      <c r="H62" s="14" t="s">
        <v>9</v>
      </c>
      <c r="I62" s="14">
        <v>0</v>
      </c>
      <c r="J62" s="14">
        <v>0</v>
      </c>
      <c r="K62" s="14">
        <v>0</v>
      </c>
      <c r="L62" s="14" t="s">
        <v>9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 t="s">
        <v>9</v>
      </c>
      <c r="S62" s="14" t="s">
        <v>9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 t="s">
        <v>9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 t="s">
        <v>9</v>
      </c>
      <c r="AG62" s="14" t="s">
        <v>9</v>
      </c>
      <c r="AH62" s="14" t="s">
        <v>9</v>
      </c>
      <c r="AI62" s="28">
        <f t="shared" si="13"/>
        <v>0</v>
      </c>
      <c r="AJ62" s="122"/>
    </row>
    <row r="63" spans="1:36" x14ac:dyDescent="0.25">
      <c r="A63" s="126"/>
      <c r="B63" s="126"/>
      <c r="C63" s="32" t="s">
        <v>51</v>
      </c>
      <c r="D63" s="14" t="s">
        <v>9</v>
      </c>
      <c r="E63" s="14" t="s">
        <v>9</v>
      </c>
      <c r="F63" s="14">
        <v>0</v>
      </c>
      <c r="G63" s="14" t="s">
        <v>9</v>
      </c>
      <c r="H63" s="14" t="s">
        <v>9</v>
      </c>
      <c r="I63" s="14">
        <v>0</v>
      </c>
      <c r="J63" s="14">
        <v>0</v>
      </c>
      <c r="K63" s="14">
        <v>1</v>
      </c>
      <c r="L63" s="14" t="s">
        <v>9</v>
      </c>
      <c r="M63" s="14">
        <v>0</v>
      </c>
      <c r="N63" s="14">
        <v>1</v>
      </c>
      <c r="O63" s="14">
        <v>0</v>
      </c>
      <c r="P63" s="14">
        <v>4</v>
      </c>
      <c r="Q63" s="14">
        <v>3</v>
      </c>
      <c r="R63" s="14" t="s">
        <v>9</v>
      </c>
      <c r="S63" s="14" t="s">
        <v>9</v>
      </c>
      <c r="T63" s="14">
        <v>2</v>
      </c>
      <c r="U63" s="14">
        <v>4</v>
      </c>
      <c r="V63" s="14">
        <v>1</v>
      </c>
      <c r="W63" s="14">
        <v>3</v>
      </c>
      <c r="X63" s="14">
        <v>0</v>
      </c>
      <c r="Y63" s="14">
        <v>0</v>
      </c>
      <c r="Z63" s="14" t="s">
        <v>9</v>
      </c>
      <c r="AA63" s="14">
        <v>1</v>
      </c>
      <c r="AB63" s="14">
        <v>3</v>
      </c>
      <c r="AC63" s="14">
        <v>1</v>
      </c>
      <c r="AD63" s="14">
        <v>2</v>
      </c>
      <c r="AE63" s="14">
        <v>0</v>
      </c>
      <c r="AF63" s="14" t="s">
        <v>9</v>
      </c>
      <c r="AG63" s="14" t="s">
        <v>9</v>
      </c>
      <c r="AH63" s="14" t="s">
        <v>9</v>
      </c>
      <c r="AI63" s="28">
        <f t="shared" si="13"/>
        <v>26</v>
      </c>
      <c r="AJ63" s="122"/>
    </row>
    <row r="64" spans="1:36" x14ac:dyDescent="0.25">
      <c r="A64" s="130"/>
      <c r="B64" s="127" t="s">
        <v>45</v>
      </c>
      <c r="C64" s="30" t="s">
        <v>46</v>
      </c>
      <c r="D64" s="3" t="s">
        <v>9</v>
      </c>
      <c r="E64" s="3" t="s">
        <v>9</v>
      </c>
      <c r="F64" s="3">
        <v>7</v>
      </c>
      <c r="G64" s="3" t="s">
        <v>9</v>
      </c>
      <c r="H64" s="3" t="s">
        <v>9</v>
      </c>
      <c r="I64" s="3">
        <v>5</v>
      </c>
      <c r="J64" s="3">
        <v>11</v>
      </c>
      <c r="K64" s="3">
        <v>1</v>
      </c>
      <c r="L64" s="3" t="s">
        <v>9</v>
      </c>
      <c r="M64" s="3">
        <v>3</v>
      </c>
      <c r="N64" s="3">
        <v>3</v>
      </c>
      <c r="O64" s="17">
        <v>12</v>
      </c>
      <c r="P64" s="3">
        <v>7</v>
      </c>
      <c r="Q64" s="3">
        <v>4</v>
      </c>
      <c r="R64" s="17" t="s">
        <v>9</v>
      </c>
      <c r="S64" s="3" t="s">
        <v>9</v>
      </c>
      <c r="T64" s="3">
        <v>11</v>
      </c>
      <c r="U64" s="3">
        <v>7</v>
      </c>
      <c r="V64" s="3">
        <v>7</v>
      </c>
      <c r="W64" s="3">
        <v>13</v>
      </c>
      <c r="X64" s="3">
        <v>1</v>
      </c>
      <c r="Y64" s="3">
        <v>1</v>
      </c>
      <c r="Z64" s="3" t="s">
        <v>9</v>
      </c>
      <c r="AA64" s="3">
        <v>9</v>
      </c>
      <c r="AB64" s="3">
        <v>17</v>
      </c>
      <c r="AC64" s="3">
        <v>3</v>
      </c>
      <c r="AD64" s="3">
        <v>8</v>
      </c>
      <c r="AE64" s="3">
        <v>3</v>
      </c>
      <c r="AF64" s="3" t="s">
        <v>9</v>
      </c>
      <c r="AG64" s="3" t="s">
        <v>9</v>
      </c>
      <c r="AH64" s="3" t="s">
        <v>9</v>
      </c>
      <c r="AI64" s="28">
        <f>SUM(D64:AH64)</f>
        <v>133</v>
      </c>
      <c r="AJ64" s="86"/>
    </row>
    <row r="65" spans="1:36" ht="13.5" thickBot="1" x14ac:dyDescent="0.3">
      <c r="A65" s="131"/>
      <c r="B65" s="128"/>
      <c r="C65" s="31" t="s">
        <v>47</v>
      </c>
      <c r="D65" s="8" t="s">
        <v>9</v>
      </c>
      <c r="E65" s="8" t="s">
        <v>9</v>
      </c>
      <c r="F65" s="8">
        <v>0</v>
      </c>
      <c r="G65" s="8" t="s">
        <v>9</v>
      </c>
      <c r="H65" s="8" t="s">
        <v>9</v>
      </c>
      <c r="I65" s="8">
        <v>0</v>
      </c>
      <c r="J65" s="8">
        <v>0</v>
      </c>
      <c r="K65" s="8">
        <v>0</v>
      </c>
      <c r="L65" s="8" t="s">
        <v>9</v>
      </c>
      <c r="M65" s="8">
        <v>0</v>
      </c>
      <c r="N65" s="8">
        <v>0</v>
      </c>
      <c r="O65" s="21">
        <v>0</v>
      </c>
      <c r="P65" s="8">
        <v>0</v>
      </c>
      <c r="Q65" s="8">
        <v>0</v>
      </c>
      <c r="R65" s="21" t="s">
        <v>9</v>
      </c>
      <c r="S65" s="8" t="s">
        <v>9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 t="s">
        <v>9</v>
      </c>
      <c r="AA65" s="8">
        <v>0</v>
      </c>
      <c r="AB65" s="8">
        <v>0</v>
      </c>
      <c r="AC65" s="8">
        <v>1</v>
      </c>
      <c r="AD65" s="8">
        <v>0</v>
      </c>
      <c r="AE65" s="8">
        <v>0</v>
      </c>
      <c r="AF65" s="8" t="s">
        <v>9</v>
      </c>
      <c r="AG65" s="8" t="s">
        <v>9</v>
      </c>
      <c r="AH65" s="8" t="s">
        <v>9</v>
      </c>
      <c r="AI65" s="26">
        <f>SUM(D65:AH65)</f>
        <v>1</v>
      </c>
      <c r="AJ65" s="87"/>
    </row>
    <row r="66" spans="1:36" x14ac:dyDescent="0.25">
      <c r="A66" s="89" t="s">
        <v>23</v>
      </c>
      <c r="B66" s="124" t="s">
        <v>18</v>
      </c>
      <c r="C66" s="29" t="s">
        <v>48</v>
      </c>
      <c r="D66" s="7" t="s">
        <v>9</v>
      </c>
      <c r="E66" s="7" t="s">
        <v>9</v>
      </c>
      <c r="F66" s="7">
        <v>11</v>
      </c>
      <c r="G66" s="7" t="s">
        <v>9</v>
      </c>
      <c r="H66" s="7">
        <v>18</v>
      </c>
      <c r="I66" s="7">
        <v>14</v>
      </c>
      <c r="J66" s="7">
        <v>14</v>
      </c>
      <c r="K66" s="7">
        <v>17</v>
      </c>
      <c r="L66" s="7" t="s">
        <v>9</v>
      </c>
      <c r="M66" s="7">
        <v>10</v>
      </c>
      <c r="N66" s="7">
        <v>0</v>
      </c>
      <c r="O66" s="7">
        <v>1</v>
      </c>
      <c r="P66" s="7">
        <v>2</v>
      </c>
      <c r="Q66" s="7">
        <v>5</v>
      </c>
      <c r="R66" s="7" t="s">
        <v>9</v>
      </c>
      <c r="S66" s="7" t="s">
        <v>9</v>
      </c>
      <c r="T66" s="41">
        <v>7</v>
      </c>
      <c r="U66" s="7">
        <v>2</v>
      </c>
      <c r="V66" s="7">
        <v>9</v>
      </c>
      <c r="W66" s="7" t="s">
        <v>55</v>
      </c>
      <c r="X66" s="7">
        <v>2</v>
      </c>
      <c r="Y66" s="41">
        <v>4</v>
      </c>
      <c r="Z66" s="35" t="s">
        <v>9</v>
      </c>
      <c r="AA66" s="35">
        <v>4</v>
      </c>
      <c r="AB66" s="35" t="s">
        <v>30</v>
      </c>
      <c r="AC66" s="35" t="s">
        <v>30</v>
      </c>
      <c r="AD66" s="35" t="s">
        <v>30</v>
      </c>
      <c r="AE66" s="35" t="s">
        <v>30</v>
      </c>
      <c r="AF66" s="7" t="s">
        <v>9</v>
      </c>
      <c r="AG66" s="7" t="s">
        <v>9</v>
      </c>
      <c r="AH66" s="7">
        <v>9</v>
      </c>
      <c r="AI66" s="27">
        <f>SUM(D66:AH66)</f>
        <v>129</v>
      </c>
      <c r="AJ66" s="85">
        <f>SUM(AI66:AI71)</f>
        <v>300</v>
      </c>
    </row>
    <row r="67" spans="1:36" x14ac:dyDescent="0.25">
      <c r="A67" s="121"/>
      <c r="B67" s="125"/>
      <c r="C67" s="32" t="s">
        <v>50</v>
      </c>
      <c r="D67" s="14" t="s">
        <v>9</v>
      </c>
      <c r="E67" s="14" t="s">
        <v>9</v>
      </c>
      <c r="F67" s="14">
        <v>11</v>
      </c>
      <c r="G67" s="14" t="s">
        <v>9</v>
      </c>
      <c r="H67" s="14">
        <v>3</v>
      </c>
      <c r="I67" s="14">
        <v>4</v>
      </c>
      <c r="J67" s="14">
        <v>0</v>
      </c>
      <c r="K67" s="14">
        <v>3</v>
      </c>
      <c r="L67" s="14" t="s">
        <v>9</v>
      </c>
      <c r="M67" s="14">
        <v>3</v>
      </c>
      <c r="N67" s="14">
        <v>3</v>
      </c>
      <c r="O67" s="14">
        <v>3</v>
      </c>
      <c r="P67" s="14">
        <v>4</v>
      </c>
      <c r="Q67" s="14">
        <v>1</v>
      </c>
      <c r="R67" s="14" t="s">
        <v>9</v>
      </c>
      <c r="S67" s="14" t="s">
        <v>9</v>
      </c>
      <c r="T67" s="18">
        <v>1</v>
      </c>
      <c r="U67" s="14">
        <v>0</v>
      </c>
      <c r="V67" s="14">
        <v>2</v>
      </c>
      <c r="W67" s="14" t="s">
        <v>55</v>
      </c>
      <c r="X67" s="14">
        <v>4</v>
      </c>
      <c r="Y67" s="18">
        <v>11</v>
      </c>
      <c r="Z67" s="3" t="s">
        <v>9</v>
      </c>
      <c r="AA67" s="3">
        <v>9</v>
      </c>
      <c r="AB67" s="3" t="s">
        <v>30</v>
      </c>
      <c r="AC67" s="3" t="s">
        <v>30</v>
      </c>
      <c r="AD67" s="3" t="s">
        <v>30</v>
      </c>
      <c r="AE67" s="3" t="s">
        <v>30</v>
      </c>
      <c r="AF67" s="14" t="s">
        <v>9</v>
      </c>
      <c r="AG67" s="14" t="s">
        <v>9</v>
      </c>
      <c r="AH67" s="14">
        <v>12</v>
      </c>
      <c r="AI67" s="28">
        <f t="shared" ref="AI67:AI69" si="14">SUM(D67:AH67)</f>
        <v>74</v>
      </c>
      <c r="AJ67" s="122"/>
    </row>
    <row r="68" spans="1:36" x14ac:dyDescent="0.25">
      <c r="A68" s="121"/>
      <c r="B68" s="125"/>
      <c r="C68" s="32" t="s">
        <v>49</v>
      </c>
      <c r="D68" s="14" t="s">
        <v>9</v>
      </c>
      <c r="E68" s="14" t="s">
        <v>9</v>
      </c>
      <c r="F68" s="14">
        <v>0</v>
      </c>
      <c r="G68" s="14" t="s">
        <v>9</v>
      </c>
      <c r="H68" s="14">
        <v>0</v>
      </c>
      <c r="I68" s="14">
        <v>0</v>
      </c>
      <c r="J68" s="14">
        <v>0</v>
      </c>
      <c r="K68" s="14">
        <v>0</v>
      </c>
      <c r="L68" s="14" t="s">
        <v>9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 t="s">
        <v>9</v>
      </c>
      <c r="S68" s="14" t="s">
        <v>9</v>
      </c>
      <c r="T68" s="18">
        <v>0</v>
      </c>
      <c r="U68" s="14">
        <v>0</v>
      </c>
      <c r="V68" s="14">
        <v>0</v>
      </c>
      <c r="W68" s="14" t="s">
        <v>55</v>
      </c>
      <c r="X68" s="14">
        <v>0</v>
      </c>
      <c r="Y68" s="18">
        <v>0</v>
      </c>
      <c r="Z68" s="3" t="s">
        <v>9</v>
      </c>
      <c r="AA68" s="3">
        <v>0</v>
      </c>
      <c r="AB68" s="3" t="s">
        <v>30</v>
      </c>
      <c r="AC68" s="3" t="s">
        <v>30</v>
      </c>
      <c r="AD68" s="3" t="s">
        <v>30</v>
      </c>
      <c r="AE68" s="3" t="s">
        <v>30</v>
      </c>
      <c r="AF68" s="14" t="s">
        <v>9</v>
      </c>
      <c r="AG68" s="14" t="s">
        <v>9</v>
      </c>
      <c r="AH68" s="14">
        <v>0</v>
      </c>
      <c r="AI68" s="28">
        <f t="shared" si="14"/>
        <v>0</v>
      </c>
      <c r="AJ68" s="122"/>
    </row>
    <row r="69" spans="1:36" x14ac:dyDescent="0.25">
      <c r="A69" s="121"/>
      <c r="B69" s="126"/>
      <c r="C69" s="32" t="s">
        <v>51</v>
      </c>
      <c r="D69" s="14" t="s">
        <v>9</v>
      </c>
      <c r="E69" s="14" t="s">
        <v>9</v>
      </c>
      <c r="F69" s="14">
        <v>1</v>
      </c>
      <c r="G69" s="14" t="s">
        <v>9</v>
      </c>
      <c r="H69" s="14">
        <v>0</v>
      </c>
      <c r="I69" s="14">
        <v>0</v>
      </c>
      <c r="J69" s="14">
        <v>0</v>
      </c>
      <c r="K69" s="14">
        <v>3</v>
      </c>
      <c r="L69" s="14" t="s">
        <v>9</v>
      </c>
      <c r="M69" s="14">
        <v>0</v>
      </c>
      <c r="N69" s="14">
        <v>0</v>
      </c>
      <c r="O69" s="14">
        <v>1</v>
      </c>
      <c r="P69" s="14">
        <v>1</v>
      </c>
      <c r="Q69" s="14">
        <v>0</v>
      </c>
      <c r="R69" s="14" t="s">
        <v>9</v>
      </c>
      <c r="S69" s="14" t="s">
        <v>9</v>
      </c>
      <c r="T69" s="18">
        <v>0</v>
      </c>
      <c r="U69" s="14">
        <v>0</v>
      </c>
      <c r="V69" s="14">
        <v>4</v>
      </c>
      <c r="W69" s="14" t="s">
        <v>55</v>
      </c>
      <c r="X69" s="14">
        <v>0</v>
      </c>
      <c r="Y69" s="18">
        <v>0</v>
      </c>
      <c r="Z69" s="3" t="s">
        <v>9</v>
      </c>
      <c r="AA69" s="3">
        <v>0</v>
      </c>
      <c r="AB69" s="3" t="s">
        <v>30</v>
      </c>
      <c r="AC69" s="3" t="s">
        <v>30</v>
      </c>
      <c r="AD69" s="3" t="s">
        <v>30</v>
      </c>
      <c r="AE69" s="3" t="s">
        <v>30</v>
      </c>
      <c r="AF69" s="14" t="s">
        <v>9</v>
      </c>
      <c r="AG69" s="14" t="s">
        <v>9</v>
      </c>
      <c r="AH69" s="14">
        <v>0</v>
      </c>
      <c r="AI69" s="28">
        <f t="shared" si="14"/>
        <v>10</v>
      </c>
      <c r="AJ69" s="122"/>
    </row>
    <row r="70" spans="1:36" x14ac:dyDescent="0.25">
      <c r="A70" s="90"/>
      <c r="B70" s="127" t="s">
        <v>45</v>
      </c>
      <c r="C70" s="30" t="s">
        <v>46</v>
      </c>
      <c r="D70" s="3" t="s">
        <v>9</v>
      </c>
      <c r="E70" s="3" t="s">
        <v>9</v>
      </c>
      <c r="F70" s="3">
        <v>2</v>
      </c>
      <c r="G70" s="3" t="s">
        <v>9</v>
      </c>
      <c r="H70" s="3">
        <v>7</v>
      </c>
      <c r="I70" s="3">
        <v>4</v>
      </c>
      <c r="J70" s="3">
        <v>10</v>
      </c>
      <c r="K70" s="3">
        <v>8</v>
      </c>
      <c r="L70" s="3" t="s">
        <v>9</v>
      </c>
      <c r="M70" s="3">
        <v>5</v>
      </c>
      <c r="N70" s="3">
        <v>0</v>
      </c>
      <c r="O70" s="3">
        <v>1</v>
      </c>
      <c r="P70" s="3">
        <v>3</v>
      </c>
      <c r="Q70" s="3">
        <v>4</v>
      </c>
      <c r="R70" s="3" t="s">
        <v>9</v>
      </c>
      <c r="S70" s="3" t="s">
        <v>9</v>
      </c>
      <c r="T70" s="18">
        <v>8</v>
      </c>
      <c r="U70" s="3">
        <v>1</v>
      </c>
      <c r="V70" s="3">
        <v>7</v>
      </c>
      <c r="W70" s="3" t="s">
        <v>55</v>
      </c>
      <c r="X70" s="3">
        <v>3</v>
      </c>
      <c r="Y70" s="18">
        <v>4</v>
      </c>
      <c r="Z70" s="3" t="s">
        <v>9</v>
      </c>
      <c r="AA70" s="3">
        <v>3</v>
      </c>
      <c r="AB70" s="3" t="s">
        <v>30</v>
      </c>
      <c r="AC70" s="3" t="s">
        <v>30</v>
      </c>
      <c r="AD70" s="3" t="s">
        <v>30</v>
      </c>
      <c r="AE70" s="3" t="s">
        <v>30</v>
      </c>
      <c r="AF70" s="3" t="s">
        <v>9</v>
      </c>
      <c r="AG70" s="3" t="s">
        <v>9</v>
      </c>
      <c r="AH70" s="3">
        <v>9</v>
      </c>
      <c r="AI70" s="28">
        <f>SUM(D70:AH70)</f>
        <v>79</v>
      </c>
      <c r="AJ70" s="86"/>
    </row>
    <row r="71" spans="1:36" ht="13.5" thickBot="1" x14ac:dyDescent="0.3">
      <c r="A71" s="91"/>
      <c r="B71" s="128"/>
      <c r="C71" s="31" t="s">
        <v>47</v>
      </c>
      <c r="D71" s="8" t="s">
        <v>9</v>
      </c>
      <c r="E71" s="8" t="s">
        <v>9</v>
      </c>
      <c r="F71" s="8">
        <v>0</v>
      </c>
      <c r="G71" s="8" t="s">
        <v>9</v>
      </c>
      <c r="H71" s="8">
        <v>0</v>
      </c>
      <c r="I71" s="8">
        <v>0</v>
      </c>
      <c r="J71" s="8">
        <v>0</v>
      </c>
      <c r="K71" s="8">
        <v>0</v>
      </c>
      <c r="L71" s="8" t="s">
        <v>9</v>
      </c>
      <c r="M71" s="8">
        <v>0</v>
      </c>
      <c r="N71" s="8">
        <v>0</v>
      </c>
      <c r="O71" s="8">
        <v>0</v>
      </c>
      <c r="P71" s="8">
        <v>1</v>
      </c>
      <c r="Q71" s="8">
        <v>0</v>
      </c>
      <c r="R71" s="8" t="s">
        <v>9</v>
      </c>
      <c r="S71" s="8" t="s">
        <v>9</v>
      </c>
      <c r="T71" s="21">
        <v>0</v>
      </c>
      <c r="U71" s="8">
        <v>0</v>
      </c>
      <c r="V71" s="8">
        <v>0</v>
      </c>
      <c r="W71" s="8" t="s">
        <v>55</v>
      </c>
      <c r="X71" s="8">
        <v>0</v>
      </c>
      <c r="Y71" s="21">
        <v>3</v>
      </c>
      <c r="Z71" s="36" t="s">
        <v>9</v>
      </c>
      <c r="AA71" s="36">
        <v>0</v>
      </c>
      <c r="AB71" s="36" t="s">
        <v>30</v>
      </c>
      <c r="AC71" s="36" t="s">
        <v>30</v>
      </c>
      <c r="AD71" s="36" t="s">
        <v>30</v>
      </c>
      <c r="AE71" s="36" t="s">
        <v>30</v>
      </c>
      <c r="AF71" s="8" t="s">
        <v>9</v>
      </c>
      <c r="AG71" s="8" t="s">
        <v>9</v>
      </c>
      <c r="AH71" s="8">
        <v>4</v>
      </c>
      <c r="AI71" s="26">
        <f>SUM(D71:AH71)</f>
        <v>8</v>
      </c>
      <c r="AJ71" s="87"/>
    </row>
    <row r="72" spans="1:36" ht="13.5" thickBot="1" x14ac:dyDescent="0.3">
      <c r="A72" s="110" t="s">
        <v>1</v>
      </c>
      <c r="B72" s="141"/>
      <c r="C72" s="111"/>
      <c r="D72" s="9">
        <f>SUM(D18:D71)</f>
        <v>79</v>
      </c>
      <c r="E72" s="9" t="s">
        <v>29</v>
      </c>
      <c r="F72" s="9">
        <f t="shared" ref="F72:K72" si="15">SUM(F18:F71)</f>
        <v>165</v>
      </c>
      <c r="G72" s="9">
        <f t="shared" si="15"/>
        <v>35</v>
      </c>
      <c r="H72" s="9">
        <f t="shared" si="15"/>
        <v>356</v>
      </c>
      <c r="I72" s="9">
        <f t="shared" si="15"/>
        <v>280</v>
      </c>
      <c r="J72" s="9">
        <f t="shared" si="15"/>
        <v>343</v>
      </c>
      <c r="K72" s="9">
        <f t="shared" si="15"/>
        <v>85</v>
      </c>
      <c r="L72" s="9" t="s">
        <v>29</v>
      </c>
      <c r="M72" s="9">
        <f t="shared" ref="M72:R72" si="16">SUM(M18:M71)</f>
        <v>131</v>
      </c>
      <c r="N72" s="9">
        <f t="shared" si="16"/>
        <v>135</v>
      </c>
      <c r="O72" s="9">
        <f t="shared" si="16"/>
        <v>135</v>
      </c>
      <c r="P72" s="9">
        <f t="shared" si="16"/>
        <v>154</v>
      </c>
      <c r="Q72" s="9">
        <f t="shared" si="16"/>
        <v>128</v>
      </c>
      <c r="R72" s="9">
        <f t="shared" si="16"/>
        <v>33</v>
      </c>
      <c r="S72" s="9" t="s">
        <v>29</v>
      </c>
      <c r="T72" s="9">
        <f t="shared" ref="T72:Y72" si="17">SUM(T18:T71)</f>
        <v>110</v>
      </c>
      <c r="U72" s="9">
        <f t="shared" si="17"/>
        <v>121</v>
      </c>
      <c r="V72" s="9">
        <f t="shared" si="17"/>
        <v>170</v>
      </c>
      <c r="W72" s="9">
        <f t="shared" si="17"/>
        <v>182</v>
      </c>
      <c r="X72" s="9">
        <f t="shared" si="17"/>
        <v>130</v>
      </c>
      <c r="Y72" s="9">
        <f t="shared" si="17"/>
        <v>145</v>
      </c>
      <c r="Z72" s="9" t="s">
        <v>29</v>
      </c>
      <c r="AA72" s="9">
        <f t="shared" ref="AA72:AF72" si="18">SUM(AA18:AA71)</f>
        <v>209</v>
      </c>
      <c r="AB72" s="9">
        <f t="shared" si="18"/>
        <v>243</v>
      </c>
      <c r="AC72" s="9">
        <f t="shared" si="18"/>
        <v>242</v>
      </c>
      <c r="AD72" s="9">
        <f t="shared" si="18"/>
        <v>224</v>
      </c>
      <c r="AE72" s="9">
        <f t="shared" si="18"/>
        <v>113</v>
      </c>
      <c r="AF72" s="9">
        <f t="shared" si="18"/>
        <v>52</v>
      </c>
      <c r="AG72" s="9" t="s">
        <v>29</v>
      </c>
      <c r="AH72" s="9">
        <f>SUM(AH18:AH71)</f>
        <v>206</v>
      </c>
      <c r="AI72" s="9">
        <f>SUM(AI18:AI71)</f>
        <v>4206</v>
      </c>
      <c r="AJ72" s="33">
        <f>SUM(AJ18:AJ71)</f>
        <v>4206</v>
      </c>
    </row>
    <row r="74" spans="1:36" s="5" customFormat="1" ht="12" x14ac:dyDescent="0.25">
      <c r="D74" s="1" t="s">
        <v>10</v>
      </c>
      <c r="E74" s="109" t="s">
        <v>11</v>
      </c>
      <c r="F74" s="109"/>
      <c r="G74" s="6"/>
      <c r="H74" s="1" t="s">
        <v>9</v>
      </c>
      <c r="I74" s="109" t="s">
        <v>12</v>
      </c>
      <c r="J74" s="109"/>
      <c r="K74" s="6"/>
      <c r="L74" s="1" t="s">
        <v>13</v>
      </c>
      <c r="M74" s="109" t="s">
        <v>14</v>
      </c>
      <c r="N74" s="109"/>
      <c r="O74" s="109"/>
      <c r="P74" s="109"/>
      <c r="Q74" s="109"/>
      <c r="R74" s="6"/>
      <c r="S74" s="1" t="s">
        <v>15</v>
      </c>
      <c r="T74" s="109" t="s">
        <v>16</v>
      </c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</row>
    <row r="75" spans="1:36" x14ac:dyDescent="0.25">
      <c r="H75" s="1" t="s">
        <v>55</v>
      </c>
      <c r="I75" s="109" t="s">
        <v>56</v>
      </c>
      <c r="J75" s="109"/>
    </row>
  </sheetData>
  <mergeCells count="70">
    <mergeCell ref="I75:J75"/>
    <mergeCell ref="A24:A29"/>
    <mergeCell ref="B24:B27"/>
    <mergeCell ref="AJ24:AJ29"/>
    <mergeCell ref="B28:B29"/>
    <mergeCell ref="E74:F74"/>
    <mergeCell ref="I74:J74"/>
    <mergeCell ref="M74:Q74"/>
    <mergeCell ref="T74:AJ74"/>
    <mergeCell ref="A60:A65"/>
    <mergeCell ref="B60:B63"/>
    <mergeCell ref="AJ60:AJ65"/>
    <mergeCell ref="B64:B65"/>
    <mergeCell ref="A72:C72"/>
    <mergeCell ref="A54:A59"/>
    <mergeCell ref="B54:B57"/>
    <mergeCell ref="AJ30:AJ35"/>
    <mergeCell ref="B34:B35"/>
    <mergeCell ref="A42:A47"/>
    <mergeCell ref="B42:B45"/>
    <mergeCell ref="AJ42:AJ47"/>
    <mergeCell ref="B46:B47"/>
    <mergeCell ref="A36:A41"/>
    <mergeCell ref="B36:B39"/>
    <mergeCell ref="AJ36:AJ41"/>
    <mergeCell ref="B40:B41"/>
    <mergeCell ref="A66:A71"/>
    <mergeCell ref="B66:B69"/>
    <mergeCell ref="AJ66:AJ71"/>
    <mergeCell ref="B70:B71"/>
    <mergeCell ref="A18:A23"/>
    <mergeCell ref="B18:B21"/>
    <mergeCell ref="AJ18:AJ23"/>
    <mergeCell ref="B22:B23"/>
    <mergeCell ref="A48:A53"/>
    <mergeCell ref="B48:B51"/>
    <mergeCell ref="AJ48:AJ53"/>
    <mergeCell ref="B52:B53"/>
    <mergeCell ref="AJ54:AJ59"/>
    <mergeCell ref="B58:B59"/>
    <mergeCell ref="A30:A35"/>
    <mergeCell ref="B30:B33"/>
    <mergeCell ref="A16:A17"/>
    <mergeCell ref="B16:C17"/>
    <mergeCell ref="AI16:AI17"/>
    <mergeCell ref="AJ16:AJ17"/>
    <mergeCell ref="A10:C10"/>
    <mergeCell ref="AI10:AJ10"/>
    <mergeCell ref="A13:C13"/>
    <mergeCell ref="AI13:AJ13"/>
    <mergeCell ref="A15:AJ15"/>
    <mergeCell ref="A12:C12"/>
    <mergeCell ref="AI12:AJ12"/>
    <mergeCell ref="A11:C11"/>
    <mergeCell ref="AI11:AJ11"/>
    <mergeCell ref="A4:C4"/>
    <mergeCell ref="AI4:AJ4"/>
    <mergeCell ref="A1:AJ1"/>
    <mergeCell ref="A2:C3"/>
    <mergeCell ref="AI2:AJ3"/>
    <mergeCell ref="A5:C5"/>
    <mergeCell ref="AI5:AJ5"/>
    <mergeCell ref="A9:C9"/>
    <mergeCell ref="AI9:AJ9"/>
    <mergeCell ref="A7:C7"/>
    <mergeCell ref="AI7:AJ7"/>
    <mergeCell ref="A8:C8"/>
    <mergeCell ref="AI8:AJ8"/>
    <mergeCell ref="A6:C6"/>
    <mergeCell ref="AI6:AJ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40538-ABDD-4D85-89C6-A93E96FE3A6B}">
  <dimension ref="A1:AJ75"/>
  <sheetViews>
    <sheetView topLeftCell="A16" zoomScale="140" zoomScaleNormal="140" workbookViewId="0">
      <selection activeCell="AH19" sqref="AH19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5.42578125" style="2" customWidth="1"/>
    <col min="5" max="6" width="5" style="2" bestFit="1" customWidth="1"/>
    <col min="7" max="8" width="4" style="2" bestFit="1" customWidth="1"/>
    <col min="9" max="9" width="3.28515625" style="2" bestFit="1" customWidth="1"/>
    <col min="10" max="13" width="4" style="2" bestFit="1" customWidth="1"/>
    <col min="14" max="14" width="4" style="2" customWidth="1"/>
    <col min="15" max="15" width="4" style="19" bestFit="1" customWidth="1"/>
    <col min="16" max="16" width="3.28515625" style="2" bestFit="1" customWidth="1"/>
    <col min="17" max="18" width="4" style="2" customWidth="1"/>
    <col min="19" max="20" width="4" style="2" bestFit="1" customWidth="1"/>
    <col min="21" max="21" width="4" style="2" customWidth="1"/>
    <col min="22" max="24" width="4" style="2" bestFit="1" customWidth="1"/>
    <col min="25" max="25" width="4.28515625" style="2" customWidth="1"/>
    <col min="26" max="26" width="3.28515625" style="2" bestFit="1" customWidth="1"/>
    <col min="27" max="27" width="5.28515625" style="2" customWidth="1"/>
    <col min="28" max="30" width="4" style="2" bestFit="1" customWidth="1"/>
    <col min="31" max="32" width="5.140625" style="2" bestFit="1" customWidth="1"/>
    <col min="33" max="33" width="4.85546875" style="2" customWidth="1"/>
    <col min="34" max="34" width="5" style="2" customWidth="1"/>
    <col min="35" max="35" width="6.140625" style="2" customWidth="1"/>
    <col min="36" max="36" width="7.85546875" style="2" customWidth="1"/>
    <col min="37" max="16384" width="9.140625" style="2"/>
  </cols>
  <sheetData>
    <row r="1" spans="1:36" ht="22.5" customHeight="1" thickBot="1" x14ac:dyDescent="0.3">
      <c r="A1" s="76" t="s">
        <v>57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36" ht="59.25" customHeight="1" x14ac:dyDescent="0.25">
      <c r="A2" s="77" t="s">
        <v>0</v>
      </c>
      <c r="B2" s="112"/>
      <c r="C2" s="78"/>
      <c r="D2" s="11">
        <v>45748</v>
      </c>
      <c r="E2" s="11">
        <v>45749</v>
      </c>
      <c r="F2" s="11">
        <v>45750</v>
      </c>
      <c r="G2" s="11">
        <v>45751</v>
      </c>
      <c r="H2" s="11">
        <v>45752</v>
      </c>
      <c r="I2" s="11">
        <v>45753</v>
      </c>
      <c r="J2" s="11">
        <v>45754</v>
      </c>
      <c r="K2" s="11">
        <v>45755</v>
      </c>
      <c r="L2" s="11">
        <v>45756</v>
      </c>
      <c r="M2" s="11">
        <v>45757</v>
      </c>
      <c r="N2" s="11">
        <v>45758</v>
      </c>
      <c r="O2" s="11">
        <v>45759</v>
      </c>
      <c r="P2" s="11">
        <v>45760</v>
      </c>
      <c r="Q2" s="11">
        <v>45761</v>
      </c>
      <c r="R2" s="11">
        <v>45762</v>
      </c>
      <c r="S2" s="11">
        <v>45763</v>
      </c>
      <c r="T2" s="11">
        <v>45764</v>
      </c>
      <c r="U2" s="11">
        <v>45765</v>
      </c>
      <c r="V2" s="11">
        <v>45766</v>
      </c>
      <c r="W2" s="11">
        <v>45767</v>
      </c>
      <c r="X2" s="11">
        <v>45768</v>
      </c>
      <c r="Y2" s="11">
        <v>45769</v>
      </c>
      <c r="Z2" s="11">
        <v>45770</v>
      </c>
      <c r="AA2" s="11">
        <v>45771</v>
      </c>
      <c r="AB2" s="11">
        <v>45772</v>
      </c>
      <c r="AC2" s="11">
        <v>45773</v>
      </c>
      <c r="AD2" s="11">
        <v>45774</v>
      </c>
      <c r="AE2" s="11">
        <v>45775</v>
      </c>
      <c r="AF2" s="11">
        <v>45776</v>
      </c>
      <c r="AG2" s="11">
        <v>45777</v>
      </c>
      <c r="AH2" s="81" t="s">
        <v>1</v>
      </c>
      <c r="AI2" s="82"/>
    </row>
    <row r="3" spans="1:36" ht="71.25" customHeight="1" x14ac:dyDescent="0.25">
      <c r="A3" s="79"/>
      <c r="B3" s="113"/>
      <c r="C3" s="80"/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2</v>
      </c>
      <c r="J3" s="12" t="s">
        <v>3</v>
      </c>
      <c r="K3" s="12" t="s">
        <v>4</v>
      </c>
      <c r="L3" s="12" t="s">
        <v>5</v>
      </c>
      <c r="M3" s="12" t="s">
        <v>6</v>
      </c>
      <c r="N3" s="12" t="s">
        <v>7</v>
      </c>
      <c r="O3" s="12" t="s">
        <v>8</v>
      </c>
      <c r="P3" s="12" t="s">
        <v>2</v>
      </c>
      <c r="Q3" s="12" t="s">
        <v>3</v>
      </c>
      <c r="R3" s="12" t="s">
        <v>4</v>
      </c>
      <c r="S3" s="12" t="s">
        <v>5</v>
      </c>
      <c r="T3" s="12" t="s">
        <v>6</v>
      </c>
      <c r="U3" s="12" t="s">
        <v>7</v>
      </c>
      <c r="V3" s="12" t="s">
        <v>8</v>
      </c>
      <c r="W3" s="12" t="s">
        <v>2</v>
      </c>
      <c r="X3" s="12" t="s">
        <v>3</v>
      </c>
      <c r="Y3" s="12" t="s">
        <v>4</v>
      </c>
      <c r="Z3" s="12" t="s">
        <v>5</v>
      </c>
      <c r="AA3" s="12" t="s">
        <v>6</v>
      </c>
      <c r="AB3" s="12" t="s">
        <v>7</v>
      </c>
      <c r="AC3" s="12" t="s">
        <v>8</v>
      </c>
      <c r="AD3" s="12" t="s">
        <v>2</v>
      </c>
      <c r="AE3" s="12" t="s">
        <v>3</v>
      </c>
      <c r="AF3" s="12" t="s">
        <v>4</v>
      </c>
      <c r="AG3" s="12" t="s">
        <v>5</v>
      </c>
      <c r="AH3" s="83"/>
      <c r="AI3" s="84"/>
    </row>
    <row r="4" spans="1:36" x14ac:dyDescent="0.25">
      <c r="A4" s="72" t="s">
        <v>39</v>
      </c>
      <c r="B4" s="114"/>
      <c r="C4" s="73"/>
      <c r="D4" s="3">
        <v>274</v>
      </c>
      <c r="E4" s="13">
        <v>216</v>
      </c>
      <c r="F4" s="3">
        <v>164</v>
      </c>
      <c r="G4" s="3">
        <v>112</v>
      </c>
      <c r="H4" s="13" t="s">
        <v>9</v>
      </c>
      <c r="I4" s="13" t="s">
        <v>9</v>
      </c>
      <c r="J4" s="3">
        <v>43</v>
      </c>
      <c r="K4" s="13">
        <v>24</v>
      </c>
      <c r="L4" s="13">
        <v>134</v>
      </c>
      <c r="M4" s="3">
        <v>92</v>
      </c>
      <c r="N4" s="13">
        <v>56</v>
      </c>
      <c r="O4" s="18" t="s">
        <v>9</v>
      </c>
      <c r="P4" s="18" t="s">
        <v>9</v>
      </c>
      <c r="Q4" s="13">
        <v>78</v>
      </c>
      <c r="R4" s="3">
        <v>70</v>
      </c>
      <c r="S4" s="13">
        <v>55</v>
      </c>
      <c r="T4" s="13">
        <v>17</v>
      </c>
      <c r="U4" s="13" t="s">
        <v>9</v>
      </c>
      <c r="V4" s="17" t="s">
        <v>9</v>
      </c>
      <c r="W4" s="13" t="s">
        <v>9</v>
      </c>
      <c r="X4" s="3" t="s">
        <v>9</v>
      </c>
      <c r="Y4" s="3">
        <v>92</v>
      </c>
      <c r="Z4" s="13" t="s">
        <v>9</v>
      </c>
      <c r="AA4" s="13">
        <v>218</v>
      </c>
      <c r="AB4" s="13">
        <v>180</v>
      </c>
      <c r="AC4" s="13" t="s">
        <v>9</v>
      </c>
      <c r="AD4" s="13" t="s">
        <v>9</v>
      </c>
      <c r="AE4" s="13">
        <v>285</v>
      </c>
      <c r="AF4" s="17">
        <v>249</v>
      </c>
      <c r="AG4" s="13">
        <v>213</v>
      </c>
      <c r="AH4" s="74">
        <f t="shared" ref="AH4:AH13" si="0">SUM(D4:AG4)</f>
        <v>2572</v>
      </c>
      <c r="AI4" s="75"/>
    </row>
    <row r="5" spans="1:36" x14ac:dyDescent="0.25">
      <c r="A5" s="72" t="s">
        <v>38</v>
      </c>
      <c r="B5" s="114"/>
      <c r="C5" s="73"/>
      <c r="D5" s="3">
        <v>173</v>
      </c>
      <c r="E5" s="13">
        <v>189</v>
      </c>
      <c r="F5" s="13">
        <v>148</v>
      </c>
      <c r="G5" s="13">
        <v>103</v>
      </c>
      <c r="H5" s="13">
        <v>35</v>
      </c>
      <c r="I5" s="13" t="s">
        <v>9</v>
      </c>
      <c r="J5" s="13" t="s">
        <v>9</v>
      </c>
      <c r="K5" s="13">
        <v>20</v>
      </c>
      <c r="L5" s="13">
        <v>56</v>
      </c>
      <c r="M5" s="3">
        <v>152</v>
      </c>
      <c r="N5" s="13">
        <v>103</v>
      </c>
      <c r="O5" s="18" t="s">
        <v>9</v>
      </c>
      <c r="P5" s="18" t="s">
        <v>9</v>
      </c>
      <c r="Q5" s="18">
        <v>57</v>
      </c>
      <c r="R5" s="18">
        <v>107</v>
      </c>
      <c r="S5" s="13">
        <v>58</v>
      </c>
      <c r="T5" s="18">
        <v>34</v>
      </c>
      <c r="U5" s="13" t="s">
        <v>9</v>
      </c>
      <c r="V5" s="17">
        <v>89</v>
      </c>
      <c r="W5" s="13" t="s">
        <v>9</v>
      </c>
      <c r="X5" s="3" t="s">
        <v>9</v>
      </c>
      <c r="Y5" s="3">
        <v>226</v>
      </c>
      <c r="Z5" s="13" t="s">
        <v>9</v>
      </c>
      <c r="AA5" s="13">
        <v>210</v>
      </c>
      <c r="AB5" s="13">
        <v>171</v>
      </c>
      <c r="AC5" s="13" t="s">
        <v>9</v>
      </c>
      <c r="AD5" s="13" t="s">
        <v>9</v>
      </c>
      <c r="AE5" s="13">
        <v>123</v>
      </c>
      <c r="AF5" s="17">
        <v>288</v>
      </c>
      <c r="AG5" s="13">
        <v>189</v>
      </c>
      <c r="AH5" s="74">
        <f>SUM(D5:AG5)</f>
        <v>2531</v>
      </c>
      <c r="AI5" s="75"/>
    </row>
    <row r="6" spans="1:36" x14ac:dyDescent="0.25">
      <c r="A6" s="72" t="s">
        <v>32</v>
      </c>
      <c r="B6" s="114"/>
      <c r="C6" s="73"/>
      <c r="D6" s="3">
        <v>184</v>
      </c>
      <c r="E6" s="3">
        <v>186</v>
      </c>
      <c r="F6" s="13">
        <v>134</v>
      </c>
      <c r="G6" s="13">
        <v>70</v>
      </c>
      <c r="H6" s="3" t="s">
        <v>9</v>
      </c>
      <c r="I6" s="13" t="s">
        <v>9</v>
      </c>
      <c r="J6" s="3">
        <v>49</v>
      </c>
      <c r="K6" s="13">
        <v>32</v>
      </c>
      <c r="L6" s="3">
        <v>93</v>
      </c>
      <c r="M6" s="3">
        <v>92</v>
      </c>
      <c r="N6" s="13">
        <v>95</v>
      </c>
      <c r="O6" s="17">
        <v>82</v>
      </c>
      <c r="P6" s="17" t="s">
        <v>9</v>
      </c>
      <c r="Q6" s="3">
        <v>41</v>
      </c>
      <c r="R6" s="17">
        <v>48</v>
      </c>
      <c r="S6" s="3">
        <v>16</v>
      </c>
      <c r="T6" s="13" t="s">
        <v>37</v>
      </c>
      <c r="U6" s="13">
        <v>22</v>
      </c>
      <c r="V6" s="17" t="s">
        <v>9</v>
      </c>
      <c r="W6" s="17" t="s">
        <v>9</v>
      </c>
      <c r="X6" s="3" t="s">
        <v>9</v>
      </c>
      <c r="Y6" s="3">
        <v>91</v>
      </c>
      <c r="Z6" s="3" t="s">
        <v>9</v>
      </c>
      <c r="AA6" s="13">
        <v>166</v>
      </c>
      <c r="AB6" s="13">
        <v>124</v>
      </c>
      <c r="AC6" s="13">
        <v>149</v>
      </c>
      <c r="AD6" s="13" t="s">
        <v>9</v>
      </c>
      <c r="AE6" s="13">
        <v>133</v>
      </c>
      <c r="AF6" s="17">
        <v>188</v>
      </c>
      <c r="AG6" s="3">
        <v>159</v>
      </c>
      <c r="AH6" s="74">
        <f t="shared" ref="AH6:AH11" si="1">SUM(D6:AG6)</f>
        <v>2154</v>
      </c>
      <c r="AI6" s="75"/>
    </row>
    <row r="7" spans="1:36" x14ac:dyDescent="0.25">
      <c r="A7" s="72" t="s">
        <v>34</v>
      </c>
      <c r="B7" s="114"/>
      <c r="C7" s="73"/>
      <c r="D7" s="3">
        <v>136</v>
      </c>
      <c r="E7" s="3">
        <v>137</v>
      </c>
      <c r="F7" s="3">
        <v>167</v>
      </c>
      <c r="G7" s="3">
        <v>47</v>
      </c>
      <c r="H7" s="3" t="s">
        <v>9</v>
      </c>
      <c r="I7" s="13" t="s">
        <v>9</v>
      </c>
      <c r="J7" s="3">
        <v>16</v>
      </c>
      <c r="K7" s="13" t="s">
        <v>37</v>
      </c>
      <c r="L7" s="3">
        <v>99</v>
      </c>
      <c r="M7" s="3">
        <v>99</v>
      </c>
      <c r="N7" s="3">
        <v>83</v>
      </c>
      <c r="O7" s="17">
        <v>83</v>
      </c>
      <c r="P7" s="17" t="s">
        <v>9</v>
      </c>
      <c r="Q7" s="3">
        <v>33</v>
      </c>
      <c r="R7" s="3">
        <v>52</v>
      </c>
      <c r="S7" s="3">
        <v>47</v>
      </c>
      <c r="T7" s="3">
        <v>9</v>
      </c>
      <c r="U7" s="13" t="s">
        <v>9</v>
      </c>
      <c r="V7" s="17" t="s">
        <v>9</v>
      </c>
      <c r="W7" s="3" t="s">
        <v>9</v>
      </c>
      <c r="X7" s="3" t="s">
        <v>9</v>
      </c>
      <c r="Y7" s="3">
        <v>54</v>
      </c>
      <c r="Z7" s="3" t="s">
        <v>9</v>
      </c>
      <c r="AA7" s="3">
        <v>152</v>
      </c>
      <c r="AB7" s="3">
        <v>122</v>
      </c>
      <c r="AC7" s="3">
        <v>93</v>
      </c>
      <c r="AD7" s="3" t="s">
        <v>9</v>
      </c>
      <c r="AE7" s="3">
        <v>116</v>
      </c>
      <c r="AF7" s="17">
        <v>157</v>
      </c>
      <c r="AG7" s="3">
        <v>211</v>
      </c>
      <c r="AH7" s="74">
        <f>SUM(D7:AG7)</f>
        <v>1913</v>
      </c>
      <c r="AI7" s="75"/>
    </row>
    <row r="8" spans="1:36" x14ac:dyDescent="0.25">
      <c r="A8" s="72" t="s">
        <v>33</v>
      </c>
      <c r="B8" s="114"/>
      <c r="C8" s="73"/>
      <c r="D8" s="3">
        <v>149</v>
      </c>
      <c r="E8" s="3">
        <v>57</v>
      </c>
      <c r="F8" s="3">
        <v>163</v>
      </c>
      <c r="G8" s="3">
        <v>93</v>
      </c>
      <c r="H8" s="3">
        <v>34</v>
      </c>
      <c r="I8" s="3" t="s">
        <v>9</v>
      </c>
      <c r="J8" s="3">
        <v>29</v>
      </c>
      <c r="K8" s="13">
        <v>36</v>
      </c>
      <c r="L8" s="3">
        <v>68</v>
      </c>
      <c r="M8" s="3">
        <v>46</v>
      </c>
      <c r="N8" s="3">
        <v>53</v>
      </c>
      <c r="O8" s="17" t="s">
        <v>9</v>
      </c>
      <c r="P8" s="17" t="s">
        <v>9</v>
      </c>
      <c r="Q8" s="18">
        <v>70</v>
      </c>
      <c r="R8" s="18">
        <v>52</v>
      </c>
      <c r="S8" s="3">
        <v>37</v>
      </c>
      <c r="T8" s="3">
        <v>35</v>
      </c>
      <c r="U8" s="13">
        <v>15</v>
      </c>
      <c r="V8" s="17">
        <v>81</v>
      </c>
      <c r="W8" s="3" t="s">
        <v>9</v>
      </c>
      <c r="X8" s="3" t="s">
        <v>9</v>
      </c>
      <c r="Y8" s="3">
        <v>129</v>
      </c>
      <c r="Z8" s="3" t="s">
        <v>9</v>
      </c>
      <c r="AA8" s="3">
        <v>102</v>
      </c>
      <c r="AB8" s="3">
        <v>120</v>
      </c>
      <c r="AC8" s="3" t="s">
        <v>9</v>
      </c>
      <c r="AD8" s="3" t="s">
        <v>9</v>
      </c>
      <c r="AE8" s="3">
        <v>190</v>
      </c>
      <c r="AF8" s="17">
        <v>190</v>
      </c>
      <c r="AG8" s="3">
        <v>162</v>
      </c>
      <c r="AH8" s="74">
        <f>SUM(D8:AG8)</f>
        <v>1911</v>
      </c>
      <c r="AI8" s="75"/>
    </row>
    <row r="9" spans="1:36" x14ac:dyDescent="0.25">
      <c r="A9" s="72" t="s">
        <v>35</v>
      </c>
      <c r="B9" s="114"/>
      <c r="C9" s="73"/>
      <c r="D9" s="3">
        <v>126</v>
      </c>
      <c r="E9" s="3">
        <v>124</v>
      </c>
      <c r="F9" s="3">
        <v>81</v>
      </c>
      <c r="G9" s="3">
        <v>63</v>
      </c>
      <c r="H9" s="3" t="s">
        <v>9</v>
      </c>
      <c r="I9" s="13" t="s">
        <v>9</v>
      </c>
      <c r="J9" s="3">
        <v>50</v>
      </c>
      <c r="K9" s="3">
        <v>32</v>
      </c>
      <c r="L9" s="3">
        <v>69</v>
      </c>
      <c r="M9" s="3">
        <v>50</v>
      </c>
      <c r="N9" s="3">
        <v>40</v>
      </c>
      <c r="O9" s="17" t="s">
        <v>9</v>
      </c>
      <c r="P9" s="17" t="s">
        <v>9</v>
      </c>
      <c r="Q9" s="3">
        <v>32</v>
      </c>
      <c r="R9" s="3">
        <v>44</v>
      </c>
      <c r="S9" s="3">
        <v>36</v>
      </c>
      <c r="T9" s="3">
        <v>39</v>
      </c>
      <c r="U9" s="3" t="s">
        <v>9</v>
      </c>
      <c r="V9" s="17" t="s">
        <v>9</v>
      </c>
      <c r="W9" s="3" t="s">
        <v>9</v>
      </c>
      <c r="X9" s="3" t="s">
        <v>9</v>
      </c>
      <c r="Y9" s="3">
        <v>78</v>
      </c>
      <c r="Z9" s="3">
        <v>51</v>
      </c>
      <c r="AA9" s="3">
        <v>128</v>
      </c>
      <c r="AB9" s="3">
        <v>136</v>
      </c>
      <c r="AC9" s="3" t="s">
        <v>9</v>
      </c>
      <c r="AD9" s="3" t="s">
        <v>9</v>
      </c>
      <c r="AE9" s="3">
        <v>239</v>
      </c>
      <c r="AF9" s="17">
        <v>211</v>
      </c>
      <c r="AG9" s="3">
        <v>144</v>
      </c>
      <c r="AH9" s="74">
        <f t="shared" si="1"/>
        <v>1773</v>
      </c>
      <c r="AI9" s="75"/>
    </row>
    <row r="10" spans="1:36" x14ac:dyDescent="0.25">
      <c r="A10" s="72" t="s">
        <v>36</v>
      </c>
      <c r="B10" s="114"/>
      <c r="C10" s="73"/>
      <c r="D10" s="3">
        <v>50</v>
      </c>
      <c r="E10" s="3">
        <v>39</v>
      </c>
      <c r="F10" s="3">
        <v>114</v>
      </c>
      <c r="G10" s="3">
        <v>62</v>
      </c>
      <c r="H10" s="3">
        <v>15</v>
      </c>
      <c r="I10" s="3" t="s">
        <v>9</v>
      </c>
      <c r="J10" s="2">
        <v>31</v>
      </c>
      <c r="K10" s="3">
        <v>59</v>
      </c>
      <c r="L10" s="3">
        <v>18</v>
      </c>
      <c r="M10" s="3">
        <v>13</v>
      </c>
      <c r="N10" s="3">
        <v>18</v>
      </c>
      <c r="O10" s="17" t="s">
        <v>9</v>
      </c>
      <c r="P10" s="17" t="s">
        <v>9</v>
      </c>
      <c r="Q10" s="3">
        <v>13</v>
      </c>
      <c r="R10" s="3">
        <v>6</v>
      </c>
      <c r="S10" s="3">
        <v>8</v>
      </c>
      <c r="T10" s="3">
        <v>5</v>
      </c>
      <c r="U10" s="3" t="s">
        <v>9</v>
      </c>
      <c r="V10" s="17">
        <v>77</v>
      </c>
      <c r="W10" s="3" t="s">
        <v>9</v>
      </c>
      <c r="X10" s="3">
        <v>22</v>
      </c>
      <c r="Y10" s="3">
        <v>75</v>
      </c>
      <c r="Z10" s="3" t="s">
        <v>9</v>
      </c>
      <c r="AA10" s="3">
        <v>77</v>
      </c>
      <c r="AB10" s="3">
        <v>60</v>
      </c>
      <c r="AC10" s="3" t="s">
        <v>9</v>
      </c>
      <c r="AD10" s="3" t="s">
        <v>9</v>
      </c>
      <c r="AE10" s="3">
        <v>58</v>
      </c>
      <c r="AF10" s="17">
        <v>80</v>
      </c>
      <c r="AG10" s="3">
        <v>16</v>
      </c>
      <c r="AH10" s="74">
        <f t="shared" si="1"/>
        <v>916</v>
      </c>
      <c r="AI10" s="75"/>
    </row>
    <row r="11" spans="1:36" x14ac:dyDescent="0.25">
      <c r="A11" s="72" t="s">
        <v>22</v>
      </c>
      <c r="B11" s="114"/>
      <c r="C11" s="73"/>
      <c r="D11" s="3">
        <v>126</v>
      </c>
      <c r="E11" s="3">
        <v>95</v>
      </c>
      <c r="F11" s="3">
        <v>81</v>
      </c>
      <c r="G11" s="3" t="s">
        <v>9</v>
      </c>
      <c r="H11" s="3">
        <v>25</v>
      </c>
      <c r="I11" s="13" t="s">
        <v>9</v>
      </c>
      <c r="J11" s="3">
        <v>10</v>
      </c>
      <c r="K11" s="3">
        <v>1</v>
      </c>
      <c r="L11" s="3">
        <v>0</v>
      </c>
      <c r="M11" s="3">
        <v>0</v>
      </c>
      <c r="N11" s="3">
        <v>0</v>
      </c>
      <c r="O11" s="17" t="s">
        <v>9</v>
      </c>
      <c r="P11" s="17" t="s">
        <v>9</v>
      </c>
      <c r="Q11" s="13">
        <v>0</v>
      </c>
      <c r="R11" s="13">
        <v>0</v>
      </c>
      <c r="S11" s="3">
        <v>1</v>
      </c>
      <c r="T11" s="3">
        <v>0</v>
      </c>
      <c r="U11" s="3" t="s">
        <v>9</v>
      </c>
      <c r="V11" s="17" t="s">
        <v>9</v>
      </c>
      <c r="W11" s="3" t="s">
        <v>9</v>
      </c>
      <c r="X11" s="3" t="s">
        <v>9</v>
      </c>
      <c r="Y11" s="3">
        <v>7</v>
      </c>
      <c r="Z11" s="3" t="s">
        <v>9</v>
      </c>
      <c r="AA11" s="3">
        <v>104</v>
      </c>
      <c r="AB11" s="3">
        <v>66</v>
      </c>
      <c r="AC11" s="3" t="s">
        <v>9</v>
      </c>
      <c r="AD11" s="3" t="s">
        <v>9</v>
      </c>
      <c r="AE11" s="3">
        <v>158</v>
      </c>
      <c r="AF11" s="17">
        <v>186</v>
      </c>
      <c r="AG11" s="3">
        <v>97</v>
      </c>
      <c r="AH11" s="74">
        <f t="shared" si="1"/>
        <v>957</v>
      </c>
      <c r="AI11" s="75"/>
    </row>
    <row r="12" spans="1:36" x14ac:dyDescent="0.25">
      <c r="A12" s="72" t="s">
        <v>23</v>
      </c>
      <c r="B12" s="114"/>
      <c r="C12" s="73"/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 t="s">
        <v>10</v>
      </c>
      <c r="AH12" s="74">
        <f t="shared" si="0"/>
        <v>0</v>
      </c>
      <c r="AI12" s="75"/>
    </row>
    <row r="13" spans="1:36" ht="13.5" thickBot="1" x14ac:dyDescent="0.3">
      <c r="A13" s="92" t="s">
        <v>1</v>
      </c>
      <c r="B13" s="115"/>
      <c r="C13" s="93"/>
      <c r="D13" s="10">
        <f>SUM(D4:D12)</f>
        <v>1218</v>
      </c>
      <c r="E13" s="10">
        <f>SUM(E4:E12)</f>
        <v>1043</v>
      </c>
      <c r="F13" s="10">
        <f>SUM(F4:F12)</f>
        <v>1052</v>
      </c>
      <c r="G13" s="10">
        <f>SUM(G4:G12)</f>
        <v>550</v>
      </c>
      <c r="H13" s="10">
        <f>SUM(H4:H12)</f>
        <v>109</v>
      </c>
      <c r="I13" s="10" t="s">
        <v>29</v>
      </c>
      <c r="J13" s="10">
        <f t="shared" ref="J13:O13" si="2">SUM(J4:J12)</f>
        <v>228</v>
      </c>
      <c r="K13" s="10">
        <f t="shared" si="2"/>
        <v>204</v>
      </c>
      <c r="L13" s="10">
        <f t="shared" si="2"/>
        <v>537</v>
      </c>
      <c r="M13" s="10">
        <f t="shared" si="2"/>
        <v>544</v>
      </c>
      <c r="N13" s="10">
        <f t="shared" si="2"/>
        <v>448</v>
      </c>
      <c r="O13" s="10">
        <f t="shared" si="2"/>
        <v>165</v>
      </c>
      <c r="P13" s="10" t="s">
        <v>29</v>
      </c>
      <c r="Q13" s="10">
        <f t="shared" ref="Q13:V13" si="3">SUM(Q4:Q12)</f>
        <v>324</v>
      </c>
      <c r="R13" s="10">
        <f t="shared" si="3"/>
        <v>379</v>
      </c>
      <c r="S13" s="10">
        <f t="shared" si="3"/>
        <v>258</v>
      </c>
      <c r="T13" s="10">
        <f t="shared" si="3"/>
        <v>139</v>
      </c>
      <c r="U13" s="10">
        <f t="shared" si="3"/>
        <v>37</v>
      </c>
      <c r="V13" s="10">
        <f t="shared" si="3"/>
        <v>247</v>
      </c>
      <c r="W13" s="10" t="s">
        <v>29</v>
      </c>
      <c r="X13" s="10">
        <f t="shared" ref="X13:AC13" si="4">SUM(X4:X12)</f>
        <v>22</v>
      </c>
      <c r="Y13" s="10">
        <f t="shared" si="4"/>
        <v>752</v>
      </c>
      <c r="Z13" s="10">
        <f t="shared" si="4"/>
        <v>51</v>
      </c>
      <c r="AA13" s="10">
        <f t="shared" si="4"/>
        <v>1157</v>
      </c>
      <c r="AB13" s="10">
        <f t="shared" si="4"/>
        <v>979</v>
      </c>
      <c r="AC13" s="10">
        <f t="shared" si="4"/>
        <v>242</v>
      </c>
      <c r="AD13" s="10" t="s">
        <v>29</v>
      </c>
      <c r="AE13" s="10">
        <f>SUM(AE4:AE12)</f>
        <v>1302</v>
      </c>
      <c r="AF13" s="10">
        <f>SUM(AF4:AF12)</f>
        <v>1549</v>
      </c>
      <c r="AG13" s="10">
        <f>SUM(AG4:AG12)</f>
        <v>1191</v>
      </c>
      <c r="AH13" s="116">
        <f t="shared" si="0"/>
        <v>14727</v>
      </c>
      <c r="AI13" s="117"/>
      <c r="AJ13" s="4"/>
    </row>
    <row r="14" spans="1:36" ht="13.5" thickBot="1" x14ac:dyDescent="0.3"/>
    <row r="15" spans="1:36" ht="22.5" customHeight="1" thickBot="1" x14ac:dyDescent="0.3">
      <c r="A15" s="96" t="s">
        <v>58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</row>
    <row r="16" spans="1:36" ht="57" customHeight="1" thickBot="1" x14ac:dyDescent="0.3">
      <c r="A16" s="97" t="s">
        <v>0</v>
      </c>
      <c r="B16" s="132" t="s">
        <v>17</v>
      </c>
      <c r="C16" s="133"/>
      <c r="D16" s="11">
        <v>45748</v>
      </c>
      <c r="E16" s="11">
        <v>45749</v>
      </c>
      <c r="F16" s="11">
        <v>45750</v>
      </c>
      <c r="G16" s="11">
        <v>45751</v>
      </c>
      <c r="H16" s="11">
        <v>45752</v>
      </c>
      <c r="I16" s="11">
        <v>45753</v>
      </c>
      <c r="J16" s="11">
        <v>45754</v>
      </c>
      <c r="K16" s="11">
        <v>45755</v>
      </c>
      <c r="L16" s="11">
        <v>45756</v>
      </c>
      <c r="M16" s="11">
        <v>45757</v>
      </c>
      <c r="N16" s="11">
        <v>45758</v>
      </c>
      <c r="O16" s="11">
        <v>45759</v>
      </c>
      <c r="P16" s="11">
        <v>45760</v>
      </c>
      <c r="Q16" s="11">
        <v>45761</v>
      </c>
      <c r="R16" s="11">
        <v>45762</v>
      </c>
      <c r="S16" s="11">
        <v>45763</v>
      </c>
      <c r="T16" s="11">
        <v>45764</v>
      </c>
      <c r="U16" s="11">
        <v>45765</v>
      </c>
      <c r="V16" s="11">
        <v>45766</v>
      </c>
      <c r="W16" s="11">
        <v>45767</v>
      </c>
      <c r="X16" s="11">
        <v>45768</v>
      </c>
      <c r="Y16" s="11">
        <v>45769</v>
      </c>
      <c r="Z16" s="11">
        <v>45770</v>
      </c>
      <c r="AA16" s="11">
        <v>45771</v>
      </c>
      <c r="AB16" s="11">
        <v>45772</v>
      </c>
      <c r="AC16" s="11">
        <v>45773</v>
      </c>
      <c r="AD16" s="11">
        <v>45774</v>
      </c>
      <c r="AE16" s="11">
        <v>45775</v>
      </c>
      <c r="AF16" s="11">
        <v>45776</v>
      </c>
      <c r="AG16" s="11">
        <v>45777</v>
      </c>
      <c r="AH16" s="101" t="s">
        <v>28</v>
      </c>
      <c r="AI16" s="103" t="s">
        <v>27</v>
      </c>
    </row>
    <row r="17" spans="1:35" ht="70.5" customHeight="1" thickBot="1" x14ac:dyDescent="0.3">
      <c r="A17" s="98"/>
      <c r="B17" s="134"/>
      <c r="C17" s="135"/>
      <c r="D17" s="16" t="s">
        <v>4</v>
      </c>
      <c r="E17" s="16" t="s">
        <v>5</v>
      </c>
      <c r="F17" s="16" t="s">
        <v>6</v>
      </c>
      <c r="G17" s="16" t="s">
        <v>7</v>
      </c>
      <c r="H17" s="16" t="s">
        <v>8</v>
      </c>
      <c r="I17" s="16" t="s">
        <v>2</v>
      </c>
      <c r="J17" s="16" t="s">
        <v>3</v>
      </c>
      <c r="K17" s="16" t="s">
        <v>4</v>
      </c>
      <c r="L17" s="16" t="s">
        <v>5</v>
      </c>
      <c r="M17" s="16" t="s">
        <v>6</v>
      </c>
      <c r="N17" s="16" t="s">
        <v>7</v>
      </c>
      <c r="O17" s="16" t="s">
        <v>8</v>
      </c>
      <c r="P17" s="16" t="s">
        <v>2</v>
      </c>
      <c r="Q17" s="16" t="s">
        <v>3</v>
      </c>
      <c r="R17" s="16" t="s">
        <v>4</v>
      </c>
      <c r="S17" s="16" t="s">
        <v>5</v>
      </c>
      <c r="T17" s="16" t="s">
        <v>6</v>
      </c>
      <c r="U17" s="16" t="s">
        <v>7</v>
      </c>
      <c r="V17" s="16" t="s">
        <v>8</v>
      </c>
      <c r="W17" s="16" t="s">
        <v>2</v>
      </c>
      <c r="X17" s="16" t="s">
        <v>3</v>
      </c>
      <c r="Y17" s="16" t="s">
        <v>4</v>
      </c>
      <c r="Z17" s="16" t="s">
        <v>5</v>
      </c>
      <c r="AA17" s="16" t="s">
        <v>6</v>
      </c>
      <c r="AB17" s="16" t="s">
        <v>7</v>
      </c>
      <c r="AC17" s="16" t="s">
        <v>8</v>
      </c>
      <c r="AD17" s="16" t="s">
        <v>2</v>
      </c>
      <c r="AE17" s="16" t="s">
        <v>3</v>
      </c>
      <c r="AF17" s="16" t="s">
        <v>4</v>
      </c>
      <c r="AG17" s="16" t="s">
        <v>5</v>
      </c>
      <c r="AH17" s="102"/>
      <c r="AI17" s="104"/>
    </row>
    <row r="18" spans="1:35" x14ac:dyDescent="0.25">
      <c r="A18" s="106" t="s">
        <v>35</v>
      </c>
      <c r="B18" s="124" t="s">
        <v>18</v>
      </c>
      <c r="C18" s="29" t="s">
        <v>48</v>
      </c>
      <c r="D18" s="7">
        <v>45</v>
      </c>
      <c r="E18" s="7">
        <v>27</v>
      </c>
      <c r="F18" s="7">
        <v>8</v>
      </c>
      <c r="G18" s="7">
        <v>20</v>
      </c>
      <c r="H18" s="7" t="s">
        <v>9</v>
      </c>
      <c r="I18" s="7" t="s">
        <v>9</v>
      </c>
      <c r="J18" s="7">
        <v>1</v>
      </c>
      <c r="K18" s="7">
        <v>0</v>
      </c>
      <c r="L18" s="7">
        <v>10</v>
      </c>
      <c r="M18" s="7">
        <v>2</v>
      </c>
      <c r="N18" s="7">
        <v>10</v>
      </c>
      <c r="O18" s="7" t="s">
        <v>9</v>
      </c>
      <c r="P18" s="20" t="s">
        <v>9</v>
      </c>
      <c r="Q18" s="7">
        <v>2</v>
      </c>
      <c r="R18" s="7">
        <v>3</v>
      </c>
      <c r="S18" s="7">
        <v>3</v>
      </c>
      <c r="T18" s="7">
        <v>4</v>
      </c>
      <c r="U18" s="7" t="s">
        <v>9</v>
      </c>
      <c r="V18" s="7" t="s">
        <v>9</v>
      </c>
      <c r="W18" s="7" t="s">
        <v>9</v>
      </c>
      <c r="X18" s="7" t="s">
        <v>9</v>
      </c>
      <c r="Y18" s="7">
        <v>13</v>
      </c>
      <c r="Z18" s="7">
        <v>9</v>
      </c>
      <c r="AA18" s="7">
        <v>12</v>
      </c>
      <c r="AB18" s="7">
        <v>40</v>
      </c>
      <c r="AC18" s="7" t="s">
        <v>9</v>
      </c>
      <c r="AD18" s="7" t="s">
        <v>9</v>
      </c>
      <c r="AE18" s="7">
        <v>48</v>
      </c>
      <c r="AF18" s="7">
        <v>12</v>
      </c>
      <c r="AG18" s="7">
        <v>70</v>
      </c>
      <c r="AH18" s="27">
        <f t="shared" ref="AH18:AH23" si="5">SUM(D18:AG18)</f>
        <v>339</v>
      </c>
      <c r="AI18" s="85">
        <f>SUM(AH18:AH23)</f>
        <v>900</v>
      </c>
    </row>
    <row r="19" spans="1:35" x14ac:dyDescent="0.25">
      <c r="A19" s="123"/>
      <c r="B19" s="125"/>
      <c r="C19" s="32" t="s">
        <v>50</v>
      </c>
      <c r="D19" s="14">
        <v>16</v>
      </c>
      <c r="E19" s="14">
        <v>5</v>
      </c>
      <c r="F19" s="14">
        <v>10</v>
      </c>
      <c r="G19" s="14">
        <v>3</v>
      </c>
      <c r="H19" s="14" t="s">
        <v>9</v>
      </c>
      <c r="I19" s="14" t="s">
        <v>9</v>
      </c>
      <c r="J19" s="14">
        <v>3</v>
      </c>
      <c r="K19" s="14">
        <v>11</v>
      </c>
      <c r="L19" s="14">
        <v>16</v>
      </c>
      <c r="M19" s="14">
        <v>17</v>
      </c>
      <c r="N19" s="14">
        <v>21</v>
      </c>
      <c r="O19" s="14" t="s">
        <v>9</v>
      </c>
      <c r="P19" s="22" t="s">
        <v>9</v>
      </c>
      <c r="Q19" s="14">
        <v>8</v>
      </c>
      <c r="R19" s="14">
        <v>0</v>
      </c>
      <c r="S19" s="14">
        <v>10</v>
      </c>
      <c r="T19" s="14">
        <v>16</v>
      </c>
      <c r="U19" s="14" t="s">
        <v>9</v>
      </c>
      <c r="V19" s="14" t="s">
        <v>9</v>
      </c>
      <c r="W19" s="14" t="s">
        <v>9</v>
      </c>
      <c r="X19" s="14" t="s">
        <v>9</v>
      </c>
      <c r="Y19" s="14">
        <v>8</v>
      </c>
      <c r="Z19" s="14">
        <v>15</v>
      </c>
      <c r="AA19" s="14">
        <v>16</v>
      </c>
      <c r="AB19" s="14">
        <v>3</v>
      </c>
      <c r="AC19" s="14" t="s">
        <v>9</v>
      </c>
      <c r="AD19" s="14" t="s">
        <v>9</v>
      </c>
      <c r="AE19" s="14">
        <v>8</v>
      </c>
      <c r="AF19" s="14">
        <v>26</v>
      </c>
      <c r="AG19" s="14">
        <v>7</v>
      </c>
      <c r="AH19" s="28">
        <f t="shared" si="5"/>
        <v>219</v>
      </c>
      <c r="AI19" s="122"/>
    </row>
    <row r="20" spans="1:35" x14ac:dyDescent="0.25">
      <c r="A20" s="123"/>
      <c r="B20" s="125"/>
      <c r="C20" s="32" t="s">
        <v>49</v>
      </c>
      <c r="D20" s="14">
        <v>0</v>
      </c>
      <c r="E20" s="14">
        <v>0</v>
      </c>
      <c r="F20" s="14">
        <v>0</v>
      </c>
      <c r="G20" s="14">
        <v>0</v>
      </c>
      <c r="H20" s="14" t="s">
        <v>9</v>
      </c>
      <c r="I20" s="14" t="s">
        <v>9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 t="s">
        <v>9</v>
      </c>
      <c r="P20" s="22" t="s">
        <v>9</v>
      </c>
      <c r="Q20" s="14">
        <v>0</v>
      </c>
      <c r="R20" s="14">
        <v>21</v>
      </c>
      <c r="S20" s="14">
        <v>0</v>
      </c>
      <c r="T20" s="14">
        <v>0</v>
      </c>
      <c r="U20" s="14" t="s">
        <v>9</v>
      </c>
      <c r="V20" s="14" t="s">
        <v>9</v>
      </c>
      <c r="W20" s="14" t="s">
        <v>9</v>
      </c>
      <c r="X20" s="14" t="s">
        <v>9</v>
      </c>
      <c r="Y20" s="14">
        <v>0</v>
      </c>
      <c r="Z20" s="14">
        <v>1</v>
      </c>
      <c r="AA20" s="14">
        <v>0</v>
      </c>
      <c r="AB20" s="14">
        <v>0</v>
      </c>
      <c r="AC20" s="14" t="s">
        <v>9</v>
      </c>
      <c r="AD20" s="14" t="s">
        <v>9</v>
      </c>
      <c r="AE20" s="14">
        <v>0</v>
      </c>
      <c r="AF20" s="14">
        <v>0</v>
      </c>
      <c r="AG20" s="14">
        <v>0</v>
      </c>
      <c r="AH20" s="28">
        <f t="shared" si="5"/>
        <v>22</v>
      </c>
      <c r="AI20" s="122"/>
    </row>
    <row r="21" spans="1:35" x14ac:dyDescent="0.25">
      <c r="A21" s="123"/>
      <c r="B21" s="126"/>
      <c r="C21" s="32" t="s">
        <v>51</v>
      </c>
      <c r="D21" s="14">
        <v>3</v>
      </c>
      <c r="E21" s="14">
        <v>4</v>
      </c>
      <c r="F21" s="14">
        <v>3</v>
      </c>
      <c r="G21" s="14">
        <v>3</v>
      </c>
      <c r="H21" s="14" t="s">
        <v>9</v>
      </c>
      <c r="I21" s="14" t="s">
        <v>9</v>
      </c>
      <c r="J21" s="14">
        <v>0</v>
      </c>
      <c r="K21" s="14">
        <v>4</v>
      </c>
      <c r="L21" s="14">
        <v>2</v>
      </c>
      <c r="M21" s="14">
        <v>1</v>
      </c>
      <c r="N21" s="14">
        <v>0</v>
      </c>
      <c r="O21" s="14" t="s">
        <v>9</v>
      </c>
      <c r="P21" s="22" t="s">
        <v>9</v>
      </c>
      <c r="Q21" s="14">
        <v>4</v>
      </c>
      <c r="R21" s="14">
        <v>5</v>
      </c>
      <c r="S21" s="14">
        <v>0</v>
      </c>
      <c r="T21" s="14">
        <v>4</v>
      </c>
      <c r="U21" s="14" t="s">
        <v>9</v>
      </c>
      <c r="V21" s="14" t="s">
        <v>9</v>
      </c>
      <c r="W21" s="14" t="s">
        <v>9</v>
      </c>
      <c r="X21" s="14" t="s">
        <v>9</v>
      </c>
      <c r="Y21" s="14">
        <v>4</v>
      </c>
      <c r="Z21" s="14">
        <v>2</v>
      </c>
      <c r="AA21" s="14">
        <v>4</v>
      </c>
      <c r="AB21" s="14">
        <v>7</v>
      </c>
      <c r="AC21" s="14" t="s">
        <v>9</v>
      </c>
      <c r="AD21" s="14" t="s">
        <v>9</v>
      </c>
      <c r="AE21" s="14">
        <v>5</v>
      </c>
      <c r="AF21" s="14">
        <v>3</v>
      </c>
      <c r="AG21" s="14">
        <v>0</v>
      </c>
      <c r="AH21" s="28">
        <f t="shared" si="5"/>
        <v>58</v>
      </c>
      <c r="AI21" s="122"/>
    </row>
    <row r="22" spans="1:35" x14ac:dyDescent="0.25">
      <c r="A22" s="72"/>
      <c r="B22" s="127" t="s">
        <v>45</v>
      </c>
      <c r="C22" s="30" t="s">
        <v>46</v>
      </c>
      <c r="D22" s="3">
        <v>34</v>
      </c>
      <c r="E22" s="3">
        <v>12</v>
      </c>
      <c r="F22" s="3">
        <v>8</v>
      </c>
      <c r="G22" s="3">
        <v>11</v>
      </c>
      <c r="H22" s="3" t="s">
        <v>9</v>
      </c>
      <c r="I22" s="3" t="s">
        <v>9</v>
      </c>
      <c r="J22" s="3">
        <v>11</v>
      </c>
      <c r="K22" s="3">
        <v>11</v>
      </c>
      <c r="L22" s="3">
        <v>5</v>
      </c>
      <c r="M22" s="3">
        <v>2</v>
      </c>
      <c r="N22" s="3">
        <v>1</v>
      </c>
      <c r="O22" s="3" t="s">
        <v>9</v>
      </c>
      <c r="P22" s="17" t="s">
        <v>9</v>
      </c>
      <c r="Q22" s="3">
        <v>9</v>
      </c>
      <c r="R22" s="3">
        <v>8</v>
      </c>
      <c r="S22" s="3">
        <v>7</v>
      </c>
      <c r="T22" s="3">
        <v>6</v>
      </c>
      <c r="U22" s="3" t="s">
        <v>9</v>
      </c>
      <c r="V22" s="3" t="s">
        <v>9</v>
      </c>
      <c r="W22" s="3" t="s">
        <v>9</v>
      </c>
      <c r="X22" s="3" t="s">
        <v>9</v>
      </c>
      <c r="Y22" s="3">
        <v>22</v>
      </c>
      <c r="Z22" s="3">
        <v>17</v>
      </c>
      <c r="AA22" s="3">
        <v>11</v>
      </c>
      <c r="AB22" s="3">
        <v>28</v>
      </c>
      <c r="AC22" s="3" t="s">
        <v>9</v>
      </c>
      <c r="AD22" s="3" t="s">
        <v>9</v>
      </c>
      <c r="AE22" s="3">
        <v>14</v>
      </c>
      <c r="AF22" s="3">
        <v>8</v>
      </c>
      <c r="AG22" s="3">
        <v>37</v>
      </c>
      <c r="AH22" s="28">
        <f t="shared" si="5"/>
        <v>262</v>
      </c>
      <c r="AI22" s="86"/>
    </row>
    <row r="23" spans="1:35" ht="13.5" thickBot="1" x14ac:dyDescent="0.3">
      <c r="A23" s="107"/>
      <c r="B23" s="128"/>
      <c r="C23" s="31" t="s">
        <v>47</v>
      </c>
      <c r="D23" s="8">
        <v>0</v>
      </c>
      <c r="E23" s="8">
        <v>0</v>
      </c>
      <c r="F23" s="8">
        <v>0</v>
      </c>
      <c r="G23" s="8">
        <v>0</v>
      </c>
      <c r="H23" s="8" t="s">
        <v>9</v>
      </c>
      <c r="I23" s="8" t="s">
        <v>9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 t="s">
        <v>9</v>
      </c>
      <c r="P23" s="21" t="s">
        <v>9</v>
      </c>
      <c r="Q23" s="8">
        <v>0</v>
      </c>
      <c r="R23" s="8">
        <v>0</v>
      </c>
      <c r="S23" s="8">
        <v>0</v>
      </c>
      <c r="T23" s="8">
        <v>0</v>
      </c>
      <c r="U23" s="8" t="s">
        <v>9</v>
      </c>
      <c r="V23" s="8" t="s">
        <v>9</v>
      </c>
      <c r="W23" s="8" t="s">
        <v>9</v>
      </c>
      <c r="X23" s="8" t="s">
        <v>9</v>
      </c>
      <c r="Y23" s="8">
        <v>0</v>
      </c>
      <c r="Z23" s="8">
        <v>0</v>
      </c>
      <c r="AA23" s="8">
        <v>0</v>
      </c>
      <c r="AB23" s="8">
        <v>0</v>
      </c>
      <c r="AC23" s="8" t="s">
        <v>9</v>
      </c>
      <c r="AD23" s="8" t="s">
        <v>9</v>
      </c>
      <c r="AE23" s="8">
        <v>0</v>
      </c>
      <c r="AF23" s="8">
        <v>0</v>
      </c>
      <c r="AG23" s="8">
        <v>0</v>
      </c>
      <c r="AH23" s="26">
        <f t="shared" si="5"/>
        <v>0</v>
      </c>
      <c r="AI23" s="87"/>
    </row>
    <row r="24" spans="1:35" x14ac:dyDescent="0.25">
      <c r="A24" s="88" t="s">
        <v>39</v>
      </c>
      <c r="B24" s="124" t="s">
        <v>18</v>
      </c>
      <c r="C24" s="29" t="s">
        <v>48</v>
      </c>
      <c r="D24" s="7">
        <v>23</v>
      </c>
      <c r="E24" s="7">
        <v>36</v>
      </c>
      <c r="F24" s="7">
        <v>5</v>
      </c>
      <c r="G24" s="7">
        <v>31</v>
      </c>
      <c r="H24" s="7" t="s">
        <v>9</v>
      </c>
      <c r="I24" s="7" t="s">
        <v>9</v>
      </c>
      <c r="J24" s="7">
        <v>0</v>
      </c>
      <c r="K24" s="7">
        <v>0</v>
      </c>
      <c r="L24" s="7">
        <v>7</v>
      </c>
      <c r="M24" s="7">
        <v>5</v>
      </c>
      <c r="N24" s="7">
        <v>13</v>
      </c>
      <c r="O24" s="7" t="s">
        <v>9</v>
      </c>
      <c r="P24" s="7" t="s">
        <v>9</v>
      </c>
      <c r="Q24" s="7">
        <v>0</v>
      </c>
      <c r="R24" s="7">
        <v>0</v>
      </c>
      <c r="S24" s="7">
        <v>9</v>
      </c>
      <c r="T24" s="7">
        <v>0</v>
      </c>
      <c r="U24" s="7" t="s">
        <v>9</v>
      </c>
      <c r="V24" s="7" t="s">
        <v>9</v>
      </c>
      <c r="W24" s="7" t="s">
        <v>9</v>
      </c>
      <c r="X24" s="7" t="s">
        <v>9</v>
      </c>
      <c r="Y24" s="7">
        <v>14</v>
      </c>
      <c r="Z24" s="7" t="s">
        <v>9</v>
      </c>
      <c r="AA24" s="7">
        <v>17</v>
      </c>
      <c r="AB24" s="7">
        <v>28</v>
      </c>
      <c r="AC24" s="7" t="s">
        <v>9</v>
      </c>
      <c r="AD24" s="7" t="s">
        <v>9</v>
      </c>
      <c r="AE24" s="7">
        <v>51</v>
      </c>
      <c r="AF24" s="7">
        <v>19</v>
      </c>
      <c r="AG24" s="7">
        <v>65</v>
      </c>
      <c r="AH24" s="27">
        <f t="shared" ref="AH24:AH47" si="6">SUM(D24:AG24)</f>
        <v>323</v>
      </c>
      <c r="AI24" s="85">
        <f>SUM(AH24:AH29)</f>
        <v>825</v>
      </c>
    </row>
    <row r="25" spans="1:35" x14ac:dyDescent="0.25">
      <c r="A25" s="88"/>
      <c r="B25" s="125"/>
      <c r="C25" s="32" t="s">
        <v>50</v>
      </c>
      <c r="D25" s="14">
        <v>10</v>
      </c>
      <c r="E25" s="14">
        <v>7</v>
      </c>
      <c r="F25" s="14">
        <v>27</v>
      </c>
      <c r="G25" s="14">
        <v>10</v>
      </c>
      <c r="H25" s="14" t="s">
        <v>9</v>
      </c>
      <c r="I25" s="14" t="s">
        <v>9</v>
      </c>
      <c r="J25" s="14">
        <v>21</v>
      </c>
      <c r="K25" s="14">
        <v>32</v>
      </c>
      <c r="L25" s="14">
        <v>17</v>
      </c>
      <c r="M25" s="14">
        <v>26</v>
      </c>
      <c r="N25" s="14">
        <v>14</v>
      </c>
      <c r="O25" s="14" t="s">
        <v>9</v>
      </c>
      <c r="P25" s="14" t="s">
        <v>9</v>
      </c>
      <c r="Q25" s="14">
        <v>21</v>
      </c>
      <c r="R25" s="14">
        <v>38</v>
      </c>
      <c r="S25" s="14">
        <v>14</v>
      </c>
      <c r="T25" s="14">
        <v>9</v>
      </c>
      <c r="U25" s="14" t="s">
        <v>9</v>
      </c>
      <c r="V25" s="14" t="s">
        <v>9</v>
      </c>
      <c r="W25" s="14" t="s">
        <v>9</v>
      </c>
      <c r="X25" s="14" t="s">
        <v>9</v>
      </c>
      <c r="Y25" s="14">
        <v>29</v>
      </c>
      <c r="Z25" s="14" t="s">
        <v>9</v>
      </c>
      <c r="AA25" s="14">
        <v>16</v>
      </c>
      <c r="AB25" s="14">
        <v>21</v>
      </c>
      <c r="AC25" s="14" t="s">
        <v>9</v>
      </c>
      <c r="AD25" s="14" t="s">
        <v>9</v>
      </c>
      <c r="AE25" s="14">
        <v>14</v>
      </c>
      <c r="AF25" s="14">
        <v>11</v>
      </c>
      <c r="AG25" s="14">
        <v>4</v>
      </c>
      <c r="AH25" s="28">
        <f t="shared" si="6"/>
        <v>341</v>
      </c>
      <c r="AI25" s="122"/>
    </row>
    <row r="26" spans="1:35" x14ac:dyDescent="0.25">
      <c r="A26" s="88"/>
      <c r="B26" s="125"/>
      <c r="C26" s="32" t="s">
        <v>49</v>
      </c>
      <c r="D26" s="14">
        <v>0</v>
      </c>
      <c r="E26" s="14">
        <v>0</v>
      </c>
      <c r="F26" s="14">
        <v>0</v>
      </c>
      <c r="G26" s="14">
        <v>0</v>
      </c>
      <c r="H26" s="14" t="s">
        <v>9</v>
      </c>
      <c r="I26" s="14" t="s">
        <v>9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 t="s">
        <v>9</v>
      </c>
      <c r="P26" s="14" t="s">
        <v>9</v>
      </c>
      <c r="Q26" s="14">
        <v>0</v>
      </c>
      <c r="R26" s="14">
        <v>0</v>
      </c>
      <c r="S26" s="14">
        <v>0</v>
      </c>
      <c r="T26" s="14">
        <v>0</v>
      </c>
      <c r="U26" s="14" t="s">
        <v>9</v>
      </c>
      <c r="V26" s="14" t="s">
        <v>9</v>
      </c>
      <c r="W26" s="14" t="s">
        <v>9</v>
      </c>
      <c r="X26" s="14" t="s">
        <v>9</v>
      </c>
      <c r="Y26" s="14">
        <v>0</v>
      </c>
      <c r="Z26" s="14" t="s">
        <v>9</v>
      </c>
      <c r="AA26" s="14">
        <v>0</v>
      </c>
      <c r="AB26" s="14">
        <v>0</v>
      </c>
      <c r="AC26" s="14" t="s">
        <v>9</v>
      </c>
      <c r="AD26" s="14" t="s">
        <v>9</v>
      </c>
      <c r="AE26" s="14">
        <v>0</v>
      </c>
      <c r="AF26" s="14">
        <v>0</v>
      </c>
      <c r="AG26" s="14">
        <v>0</v>
      </c>
      <c r="AH26" s="28">
        <f t="shared" si="6"/>
        <v>0</v>
      </c>
      <c r="AI26" s="122"/>
    </row>
    <row r="27" spans="1:35" x14ac:dyDescent="0.25">
      <c r="A27" s="88"/>
      <c r="B27" s="126"/>
      <c r="C27" s="32" t="s">
        <v>51</v>
      </c>
      <c r="D27" s="14">
        <v>0</v>
      </c>
      <c r="E27" s="14">
        <v>1</v>
      </c>
      <c r="F27" s="14">
        <v>0</v>
      </c>
      <c r="G27" s="14">
        <v>3</v>
      </c>
      <c r="H27" s="14" t="s">
        <v>9</v>
      </c>
      <c r="I27" s="14" t="s">
        <v>9</v>
      </c>
      <c r="J27" s="14">
        <v>3</v>
      </c>
      <c r="K27" s="14">
        <v>1</v>
      </c>
      <c r="L27" s="14">
        <v>1</v>
      </c>
      <c r="M27" s="14">
        <v>1</v>
      </c>
      <c r="N27" s="14">
        <v>1</v>
      </c>
      <c r="O27" s="14" t="s">
        <v>9</v>
      </c>
      <c r="P27" s="14" t="s">
        <v>9</v>
      </c>
      <c r="Q27" s="14">
        <v>0</v>
      </c>
      <c r="R27" s="14">
        <v>0</v>
      </c>
      <c r="S27" s="14">
        <v>4</v>
      </c>
      <c r="T27" s="14">
        <v>2</v>
      </c>
      <c r="U27" s="14" t="s">
        <v>9</v>
      </c>
      <c r="V27" s="14" t="s">
        <v>9</v>
      </c>
      <c r="W27" s="14" t="s">
        <v>9</v>
      </c>
      <c r="X27" s="14" t="s">
        <v>9</v>
      </c>
      <c r="Y27" s="14">
        <v>3</v>
      </c>
      <c r="Z27" s="14" t="s">
        <v>9</v>
      </c>
      <c r="AA27" s="14">
        <v>3</v>
      </c>
      <c r="AB27" s="14">
        <v>2</v>
      </c>
      <c r="AC27" s="14" t="s">
        <v>9</v>
      </c>
      <c r="AD27" s="14" t="s">
        <v>9</v>
      </c>
      <c r="AE27" s="14">
        <v>3</v>
      </c>
      <c r="AF27" s="14">
        <v>2</v>
      </c>
      <c r="AG27" s="14">
        <v>0</v>
      </c>
      <c r="AH27" s="28">
        <f t="shared" si="6"/>
        <v>30</v>
      </c>
      <c r="AI27" s="122"/>
    </row>
    <row r="28" spans="1:35" x14ac:dyDescent="0.25">
      <c r="A28" s="88"/>
      <c r="B28" s="127" t="s">
        <v>45</v>
      </c>
      <c r="C28" s="30" t="s">
        <v>46</v>
      </c>
      <c r="D28" s="3">
        <v>9</v>
      </c>
      <c r="E28" s="3">
        <v>2</v>
      </c>
      <c r="F28" s="3">
        <v>1</v>
      </c>
      <c r="G28" s="3">
        <v>14</v>
      </c>
      <c r="H28" s="3" t="s">
        <v>9</v>
      </c>
      <c r="I28" s="3" t="s">
        <v>9</v>
      </c>
      <c r="J28" s="3">
        <v>4</v>
      </c>
      <c r="K28" s="3">
        <v>5</v>
      </c>
      <c r="L28" s="3">
        <v>5</v>
      </c>
      <c r="M28" s="3">
        <v>1</v>
      </c>
      <c r="N28" s="3">
        <v>2</v>
      </c>
      <c r="O28" s="3" t="s">
        <v>9</v>
      </c>
      <c r="P28" s="3" t="s">
        <v>9</v>
      </c>
      <c r="Q28" s="3">
        <v>3</v>
      </c>
      <c r="R28" s="3">
        <v>2</v>
      </c>
      <c r="S28" s="3">
        <v>12</v>
      </c>
      <c r="T28" s="3">
        <v>4</v>
      </c>
      <c r="U28" s="3" t="s">
        <v>9</v>
      </c>
      <c r="V28" s="3" t="s">
        <v>9</v>
      </c>
      <c r="W28" s="3" t="s">
        <v>9</v>
      </c>
      <c r="X28" s="3" t="s">
        <v>9</v>
      </c>
      <c r="Y28" s="3">
        <v>13</v>
      </c>
      <c r="Z28" s="3" t="s">
        <v>9</v>
      </c>
      <c r="AA28" s="3">
        <v>10</v>
      </c>
      <c r="AB28" s="3">
        <v>19</v>
      </c>
      <c r="AC28" s="3" t="s">
        <v>9</v>
      </c>
      <c r="AD28" s="3" t="s">
        <v>9</v>
      </c>
      <c r="AE28" s="3">
        <v>7</v>
      </c>
      <c r="AF28" s="3">
        <v>3</v>
      </c>
      <c r="AG28" s="3">
        <v>15</v>
      </c>
      <c r="AH28" s="28">
        <f t="shared" si="6"/>
        <v>131</v>
      </c>
      <c r="AI28" s="86"/>
    </row>
    <row r="29" spans="1:35" ht="13.5" thickBot="1" x14ac:dyDescent="0.3">
      <c r="A29" s="88"/>
      <c r="B29" s="128"/>
      <c r="C29" s="31" t="s">
        <v>47</v>
      </c>
      <c r="D29" s="8">
        <v>0</v>
      </c>
      <c r="E29" s="8">
        <v>0</v>
      </c>
      <c r="F29" s="8">
        <v>0</v>
      </c>
      <c r="G29" s="8">
        <v>0</v>
      </c>
      <c r="H29" s="8" t="s">
        <v>9</v>
      </c>
      <c r="I29" s="8" t="s">
        <v>9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 t="s">
        <v>9</v>
      </c>
      <c r="P29" s="8" t="s">
        <v>9</v>
      </c>
      <c r="Q29" s="8">
        <v>0</v>
      </c>
      <c r="R29" s="8">
        <v>0</v>
      </c>
      <c r="S29" s="8">
        <v>0</v>
      </c>
      <c r="T29" s="8">
        <v>0</v>
      </c>
      <c r="U29" s="8" t="s">
        <v>9</v>
      </c>
      <c r="V29" s="8" t="s">
        <v>9</v>
      </c>
      <c r="W29" s="8" t="s">
        <v>9</v>
      </c>
      <c r="X29" s="8" t="s">
        <v>9</v>
      </c>
      <c r="Y29" s="8">
        <v>0</v>
      </c>
      <c r="Z29" s="8" t="s">
        <v>9</v>
      </c>
      <c r="AA29" s="8">
        <v>0</v>
      </c>
      <c r="AB29" s="8">
        <v>0</v>
      </c>
      <c r="AC29" s="8" t="s">
        <v>9</v>
      </c>
      <c r="AD29" s="8" t="s">
        <v>9</v>
      </c>
      <c r="AE29" s="8">
        <v>0</v>
      </c>
      <c r="AF29" s="8">
        <v>0</v>
      </c>
      <c r="AG29" s="8">
        <v>0</v>
      </c>
      <c r="AH29" s="26">
        <f t="shared" si="6"/>
        <v>0</v>
      </c>
      <c r="AI29" s="87"/>
    </row>
    <row r="30" spans="1:35" x14ac:dyDescent="0.25">
      <c r="A30" s="89" t="s">
        <v>36</v>
      </c>
      <c r="B30" s="136" t="s">
        <v>18</v>
      </c>
      <c r="C30" s="29" t="s">
        <v>48</v>
      </c>
      <c r="D30" s="7">
        <v>1</v>
      </c>
      <c r="E30" s="7">
        <v>4</v>
      </c>
      <c r="F30" s="7">
        <v>6</v>
      </c>
      <c r="G30" s="7">
        <v>0</v>
      </c>
      <c r="H30" s="7">
        <v>2</v>
      </c>
      <c r="I30" s="7" t="s">
        <v>9</v>
      </c>
      <c r="J30" s="7">
        <v>4</v>
      </c>
      <c r="K30" s="7">
        <v>6</v>
      </c>
      <c r="L30" s="7">
        <v>8</v>
      </c>
      <c r="M30" s="7">
        <v>22</v>
      </c>
      <c r="N30" s="7">
        <v>0</v>
      </c>
      <c r="O30" s="7" t="s">
        <v>9</v>
      </c>
      <c r="P30" s="7" t="s">
        <v>9</v>
      </c>
      <c r="Q30" s="7">
        <v>3</v>
      </c>
      <c r="R30" s="7">
        <v>0</v>
      </c>
      <c r="S30" s="7">
        <v>0</v>
      </c>
      <c r="T30" s="7">
        <v>1</v>
      </c>
      <c r="U30" s="7" t="s">
        <v>9</v>
      </c>
      <c r="V30" s="7">
        <v>1</v>
      </c>
      <c r="W30" s="7" t="s">
        <v>9</v>
      </c>
      <c r="X30" s="7">
        <v>1</v>
      </c>
      <c r="Y30" s="7">
        <v>0</v>
      </c>
      <c r="Z30" s="7" t="s">
        <v>9</v>
      </c>
      <c r="AA30" s="7">
        <v>18</v>
      </c>
      <c r="AB30" s="7">
        <v>4</v>
      </c>
      <c r="AC30" s="7" t="s">
        <v>9</v>
      </c>
      <c r="AD30" s="7" t="s">
        <v>9</v>
      </c>
      <c r="AE30" s="7">
        <v>8</v>
      </c>
      <c r="AF30" s="7">
        <v>14</v>
      </c>
      <c r="AG30" s="7">
        <v>3</v>
      </c>
      <c r="AH30" s="27">
        <f t="shared" ref="AH30:AH35" si="7">SUM(D30:AG30)</f>
        <v>106</v>
      </c>
      <c r="AI30" s="85">
        <f>SUM(AH30:AH35)</f>
        <v>779</v>
      </c>
    </row>
    <row r="31" spans="1:35" x14ac:dyDescent="0.25">
      <c r="A31" s="121"/>
      <c r="B31" s="137"/>
      <c r="C31" s="32" t="s">
        <v>50</v>
      </c>
      <c r="D31" s="14">
        <v>0</v>
      </c>
      <c r="E31" s="14">
        <v>1</v>
      </c>
      <c r="F31" s="14">
        <v>2</v>
      </c>
      <c r="G31" s="14">
        <v>2</v>
      </c>
      <c r="H31" s="14">
        <v>2</v>
      </c>
      <c r="I31" s="14" t="s">
        <v>9</v>
      </c>
      <c r="J31" s="14">
        <v>2</v>
      </c>
      <c r="K31" s="14">
        <v>0</v>
      </c>
      <c r="L31" s="14">
        <v>0</v>
      </c>
      <c r="M31" s="14">
        <v>0</v>
      </c>
      <c r="N31" s="14">
        <v>1</v>
      </c>
      <c r="O31" s="14" t="s">
        <v>9</v>
      </c>
      <c r="P31" s="14" t="s">
        <v>9</v>
      </c>
      <c r="Q31" s="14">
        <v>2</v>
      </c>
      <c r="R31" s="14">
        <v>1</v>
      </c>
      <c r="S31" s="14">
        <v>3</v>
      </c>
      <c r="T31" s="14">
        <v>0</v>
      </c>
      <c r="U31" s="14" t="s">
        <v>9</v>
      </c>
      <c r="V31" s="14">
        <v>0</v>
      </c>
      <c r="W31" s="14" t="s">
        <v>9</v>
      </c>
      <c r="X31" s="14">
        <v>0</v>
      </c>
      <c r="Y31" s="14">
        <v>2</v>
      </c>
      <c r="Z31" s="14" t="s">
        <v>9</v>
      </c>
      <c r="AA31" s="14">
        <v>1</v>
      </c>
      <c r="AB31" s="14">
        <v>4</v>
      </c>
      <c r="AC31" s="14" t="s">
        <v>9</v>
      </c>
      <c r="AD31" s="14" t="s">
        <v>9</v>
      </c>
      <c r="AE31" s="14">
        <v>0</v>
      </c>
      <c r="AF31" s="14">
        <v>1</v>
      </c>
      <c r="AG31" s="14">
        <v>0</v>
      </c>
      <c r="AH31" s="28">
        <f t="shared" si="7"/>
        <v>24</v>
      </c>
      <c r="AI31" s="122"/>
    </row>
    <row r="32" spans="1:35" x14ac:dyDescent="0.25">
      <c r="A32" s="121"/>
      <c r="B32" s="137"/>
      <c r="C32" s="32" t="s">
        <v>49</v>
      </c>
      <c r="D32" s="14">
        <v>5</v>
      </c>
      <c r="E32" s="14">
        <v>12</v>
      </c>
      <c r="F32" s="14">
        <v>3</v>
      </c>
      <c r="G32" s="14">
        <v>23</v>
      </c>
      <c r="H32" s="14">
        <v>8</v>
      </c>
      <c r="I32" s="14" t="s">
        <v>9</v>
      </c>
      <c r="J32" s="14">
        <v>10</v>
      </c>
      <c r="K32" s="14">
        <v>11</v>
      </c>
      <c r="L32" s="14">
        <v>20</v>
      </c>
      <c r="M32" s="14">
        <v>0</v>
      </c>
      <c r="N32" s="14">
        <v>1</v>
      </c>
      <c r="O32" s="14" t="s">
        <v>9</v>
      </c>
      <c r="P32" s="14" t="s">
        <v>9</v>
      </c>
      <c r="Q32" s="14">
        <v>12</v>
      </c>
      <c r="R32" s="14">
        <v>17</v>
      </c>
      <c r="S32" s="14">
        <v>14</v>
      </c>
      <c r="T32" s="14">
        <v>13</v>
      </c>
      <c r="U32" s="14" t="s">
        <v>9</v>
      </c>
      <c r="V32" s="14">
        <v>2</v>
      </c>
      <c r="W32" s="14" t="s">
        <v>9</v>
      </c>
      <c r="X32" s="14">
        <v>14</v>
      </c>
      <c r="Y32" s="14">
        <v>8</v>
      </c>
      <c r="Z32" s="14" t="s">
        <v>9</v>
      </c>
      <c r="AA32" s="14">
        <v>0</v>
      </c>
      <c r="AB32" s="14">
        <v>13</v>
      </c>
      <c r="AC32" s="14" t="s">
        <v>9</v>
      </c>
      <c r="AD32" s="14" t="s">
        <v>9</v>
      </c>
      <c r="AE32" s="14">
        <v>23</v>
      </c>
      <c r="AF32" s="14">
        <v>40</v>
      </c>
      <c r="AG32" s="14">
        <v>20</v>
      </c>
      <c r="AH32" s="28">
        <f t="shared" si="7"/>
        <v>269</v>
      </c>
      <c r="AI32" s="122"/>
    </row>
    <row r="33" spans="1:35" x14ac:dyDescent="0.25">
      <c r="A33" s="121"/>
      <c r="B33" s="138"/>
      <c r="C33" s="32" t="s">
        <v>51</v>
      </c>
      <c r="D33" s="14">
        <v>13</v>
      </c>
      <c r="E33" s="14">
        <v>7</v>
      </c>
      <c r="F33" s="14">
        <v>5</v>
      </c>
      <c r="G33" s="14">
        <v>7</v>
      </c>
      <c r="H33" s="14">
        <v>3</v>
      </c>
      <c r="I33" s="14" t="s">
        <v>9</v>
      </c>
      <c r="J33" s="14">
        <v>15</v>
      </c>
      <c r="K33" s="14">
        <v>4</v>
      </c>
      <c r="L33" s="14">
        <v>5</v>
      </c>
      <c r="M33" s="14">
        <v>11</v>
      </c>
      <c r="N33" s="14">
        <v>6</v>
      </c>
      <c r="O33" s="14" t="s">
        <v>9</v>
      </c>
      <c r="P33" s="14" t="s">
        <v>9</v>
      </c>
      <c r="Q33" s="14">
        <v>10</v>
      </c>
      <c r="R33" s="14">
        <v>6</v>
      </c>
      <c r="S33" s="14">
        <v>10</v>
      </c>
      <c r="T33" s="14">
        <v>4</v>
      </c>
      <c r="U33" s="14" t="s">
        <v>9</v>
      </c>
      <c r="V33" s="14">
        <v>1</v>
      </c>
      <c r="W33" s="14" t="s">
        <v>9</v>
      </c>
      <c r="X33" s="14">
        <v>2</v>
      </c>
      <c r="Y33" s="14">
        <v>5</v>
      </c>
      <c r="Z33" s="14" t="s">
        <v>9</v>
      </c>
      <c r="AA33" s="14">
        <v>10</v>
      </c>
      <c r="AB33" s="14">
        <v>12</v>
      </c>
      <c r="AC33" s="14" t="s">
        <v>9</v>
      </c>
      <c r="AD33" s="14" t="s">
        <v>9</v>
      </c>
      <c r="AE33" s="14">
        <v>10</v>
      </c>
      <c r="AF33" s="14">
        <v>4</v>
      </c>
      <c r="AG33" s="14">
        <v>8</v>
      </c>
      <c r="AH33" s="28">
        <f t="shared" si="7"/>
        <v>158</v>
      </c>
      <c r="AI33" s="122"/>
    </row>
    <row r="34" spans="1:35" x14ac:dyDescent="0.25">
      <c r="A34" s="90"/>
      <c r="B34" s="139" t="s">
        <v>45</v>
      </c>
      <c r="C34" s="30" t="s">
        <v>46</v>
      </c>
      <c r="D34" s="3">
        <v>10</v>
      </c>
      <c r="E34" s="3">
        <v>7</v>
      </c>
      <c r="F34" s="3">
        <v>7</v>
      </c>
      <c r="G34" s="3">
        <v>10</v>
      </c>
      <c r="H34" s="3">
        <v>1</v>
      </c>
      <c r="I34" s="3" t="s">
        <v>9</v>
      </c>
      <c r="J34" s="3">
        <v>15</v>
      </c>
      <c r="K34" s="3">
        <v>4</v>
      </c>
      <c r="L34" s="3">
        <v>16</v>
      </c>
      <c r="M34" s="3">
        <v>29</v>
      </c>
      <c r="N34" s="3">
        <v>5</v>
      </c>
      <c r="O34" s="3" t="s">
        <v>9</v>
      </c>
      <c r="P34" s="3" t="s">
        <v>9</v>
      </c>
      <c r="Q34" s="3">
        <v>6</v>
      </c>
      <c r="R34" s="3">
        <v>7</v>
      </c>
      <c r="S34" s="3">
        <v>5</v>
      </c>
      <c r="T34" s="3">
        <v>8</v>
      </c>
      <c r="U34" s="3" t="s">
        <v>9</v>
      </c>
      <c r="V34" s="3">
        <v>2</v>
      </c>
      <c r="W34" s="3" t="s">
        <v>9</v>
      </c>
      <c r="X34" s="3">
        <v>8</v>
      </c>
      <c r="Y34" s="3">
        <v>8</v>
      </c>
      <c r="Z34" s="3" t="s">
        <v>9</v>
      </c>
      <c r="AA34" s="3">
        <v>27</v>
      </c>
      <c r="AB34" s="3">
        <v>13</v>
      </c>
      <c r="AC34" s="3" t="s">
        <v>9</v>
      </c>
      <c r="AD34" s="3" t="s">
        <v>9</v>
      </c>
      <c r="AE34" s="3">
        <v>12</v>
      </c>
      <c r="AF34" s="3">
        <v>12</v>
      </c>
      <c r="AG34" s="3">
        <v>8</v>
      </c>
      <c r="AH34" s="28">
        <f t="shared" si="7"/>
        <v>220</v>
      </c>
      <c r="AI34" s="86"/>
    </row>
    <row r="35" spans="1:35" ht="13.5" thickBot="1" x14ac:dyDescent="0.3">
      <c r="A35" s="91"/>
      <c r="B35" s="140"/>
      <c r="C35" s="31" t="s">
        <v>47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 t="s">
        <v>9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 t="s">
        <v>9</v>
      </c>
      <c r="P35" s="8" t="s">
        <v>9</v>
      </c>
      <c r="Q35" s="8">
        <v>0</v>
      </c>
      <c r="R35" s="8">
        <v>0</v>
      </c>
      <c r="S35" s="8">
        <v>2</v>
      </c>
      <c r="T35" s="8">
        <v>0</v>
      </c>
      <c r="U35" s="8" t="s">
        <v>9</v>
      </c>
      <c r="V35" s="8">
        <v>0</v>
      </c>
      <c r="W35" s="8" t="s">
        <v>9</v>
      </c>
      <c r="X35" s="8">
        <v>0</v>
      </c>
      <c r="Y35" s="8">
        <v>0</v>
      </c>
      <c r="Z35" s="8" t="s">
        <v>9</v>
      </c>
      <c r="AA35" s="8">
        <v>0</v>
      </c>
      <c r="AB35" s="8">
        <v>0</v>
      </c>
      <c r="AC35" s="8" t="s">
        <v>9</v>
      </c>
      <c r="AD35" s="8" t="s">
        <v>9</v>
      </c>
      <c r="AE35" s="8">
        <v>0</v>
      </c>
      <c r="AF35" s="8">
        <v>0</v>
      </c>
      <c r="AG35" s="8">
        <v>0</v>
      </c>
      <c r="AH35" s="26">
        <f t="shared" si="7"/>
        <v>2</v>
      </c>
      <c r="AI35" s="87"/>
    </row>
    <row r="36" spans="1:35" x14ac:dyDescent="0.25">
      <c r="A36" s="89" t="s">
        <v>32</v>
      </c>
      <c r="B36" s="124" t="s">
        <v>18</v>
      </c>
      <c r="C36" s="29" t="s">
        <v>48</v>
      </c>
      <c r="D36" s="7">
        <v>23</v>
      </c>
      <c r="E36" s="7">
        <v>20</v>
      </c>
      <c r="F36" s="7">
        <v>44</v>
      </c>
      <c r="G36" s="7">
        <v>3</v>
      </c>
      <c r="H36" s="7" t="s">
        <v>9</v>
      </c>
      <c r="I36" s="7" t="s">
        <v>9</v>
      </c>
      <c r="J36" s="7">
        <v>9</v>
      </c>
      <c r="K36" s="7">
        <v>0</v>
      </c>
      <c r="L36" s="7">
        <v>7</v>
      </c>
      <c r="M36" s="7">
        <v>4</v>
      </c>
      <c r="N36" s="7">
        <v>6</v>
      </c>
      <c r="O36" s="7">
        <v>12</v>
      </c>
      <c r="P36" s="7" t="s">
        <v>9</v>
      </c>
      <c r="Q36" s="7">
        <v>5</v>
      </c>
      <c r="R36" s="20">
        <v>3</v>
      </c>
      <c r="S36" s="7">
        <v>3</v>
      </c>
      <c r="T36" s="7" t="s">
        <v>37</v>
      </c>
      <c r="U36" s="7">
        <v>0</v>
      </c>
      <c r="V36" s="7" t="s">
        <v>9</v>
      </c>
      <c r="W36" s="20" t="s">
        <v>9</v>
      </c>
      <c r="X36" s="20" t="s">
        <v>9</v>
      </c>
      <c r="Y36" s="7">
        <v>17</v>
      </c>
      <c r="Z36" s="7" t="s">
        <v>9</v>
      </c>
      <c r="AA36" s="7">
        <v>14</v>
      </c>
      <c r="AB36" s="7">
        <v>26</v>
      </c>
      <c r="AC36" s="7">
        <v>37</v>
      </c>
      <c r="AD36" s="7" t="s">
        <v>9</v>
      </c>
      <c r="AE36" s="7">
        <v>12</v>
      </c>
      <c r="AF36" s="14">
        <v>24</v>
      </c>
      <c r="AG36" s="7">
        <v>21</v>
      </c>
      <c r="AH36" s="27">
        <f t="shared" si="6"/>
        <v>290</v>
      </c>
      <c r="AI36" s="85">
        <f>SUM(AH36:AH41)</f>
        <v>682</v>
      </c>
    </row>
    <row r="37" spans="1:35" x14ac:dyDescent="0.25">
      <c r="A37" s="121"/>
      <c r="B37" s="125"/>
      <c r="C37" s="32" t="s">
        <v>50</v>
      </c>
      <c r="D37" s="14">
        <v>2</v>
      </c>
      <c r="E37" s="14">
        <v>7</v>
      </c>
      <c r="F37" s="14">
        <v>6</v>
      </c>
      <c r="G37" s="14">
        <v>2</v>
      </c>
      <c r="H37" s="14" t="s">
        <v>9</v>
      </c>
      <c r="I37" s="14" t="s">
        <v>9</v>
      </c>
      <c r="J37" s="14">
        <v>11</v>
      </c>
      <c r="K37" s="14">
        <v>7</v>
      </c>
      <c r="L37" s="14">
        <v>5</v>
      </c>
      <c r="M37" s="14">
        <v>6</v>
      </c>
      <c r="N37" s="14">
        <v>7</v>
      </c>
      <c r="O37" s="14">
        <v>1</v>
      </c>
      <c r="P37" s="14" t="s">
        <v>9</v>
      </c>
      <c r="Q37" s="14">
        <v>12</v>
      </c>
      <c r="R37" s="14">
        <v>5</v>
      </c>
      <c r="S37" s="14">
        <v>5</v>
      </c>
      <c r="T37" s="14" t="s">
        <v>37</v>
      </c>
      <c r="U37" s="14">
        <v>17</v>
      </c>
      <c r="V37" s="14" t="s">
        <v>9</v>
      </c>
      <c r="W37" s="14" t="s">
        <v>9</v>
      </c>
      <c r="X37" s="14" t="s">
        <v>9</v>
      </c>
      <c r="Y37" s="14">
        <v>12</v>
      </c>
      <c r="Z37" s="14" t="s">
        <v>9</v>
      </c>
      <c r="AA37" s="14">
        <v>8</v>
      </c>
      <c r="AB37" s="14">
        <v>12</v>
      </c>
      <c r="AC37" s="14">
        <v>6</v>
      </c>
      <c r="AD37" s="14" t="s">
        <v>9</v>
      </c>
      <c r="AE37" s="14">
        <v>12</v>
      </c>
      <c r="AF37" s="14">
        <v>4</v>
      </c>
      <c r="AG37" s="14">
        <v>6</v>
      </c>
      <c r="AH37" s="28">
        <f t="shared" si="6"/>
        <v>153</v>
      </c>
      <c r="AI37" s="122"/>
    </row>
    <row r="38" spans="1:35" x14ac:dyDescent="0.25">
      <c r="A38" s="121"/>
      <c r="B38" s="125"/>
      <c r="C38" s="32" t="s">
        <v>49</v>
      </c>
      <c r="D38" s="14">
        <v>0</v>
      </c>
      <c r="E38" s="14">
        <v>0</v>
      </c>
      <c r="F38" s="14">
        <v>0</v>
      </c>
      <c r="G38" s="14">
        <v>0</v>
      </c>
      <c r="H38" s="14" t="s">
        <v>9</v>
      </c>
      <c r="I38" s="14" t="s">
        <v>9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 t="s">
        <v>9</v>
      </c>
      <c r="Q38" s="14">
        <v>0</v>
      </c>
      <c r="R38" s="14">
        <v>0</v>
      </c>
      <c r="S38" s="14">
        <v>0</v>
      </c>
      <c r="T38" s="14" t="s">
        <v>37</v>
      </c>
      <c r="U38" s="14">
        <v>0</v>
      </c>
      <c r="V38" s="14" t="s">
        <v>9</v>
      </c>
      <c r="W38" s="14" t="s">
        <v>9</v>
      </c>
      <c r="X38" s="14" t="s">
        <v>9</v>
      </c>
      <c r="Y38" s="14">
        <v>0</v>
      </c>
      <c r="Z38" s="14" t="s">
        <v>9</v>
      </c>
      <c r="AA38" s="14">
        <v>0</v>
      </c>
      <c r="AB38" s="14">
        <v>0</v>
      </c>
      <c r="AC38" s="14">
        <v>0</v>
      </c>
      <c r="AD38" s="14" t="s">
        <v>9</v>
      </c>
      <c r="AE38" s="14">
        <v>0</v>
      </c>
      <c r="AF38" s="14">
        <v>1</v>
      </c>
      <c r="AG38" s="14">
        <v>0</v>
      </c>
      <c r="AH38" s="28">
        <f t="shared" si="6"/>
        <v>1</v>
      </c>
      <c r="AI38" s="122"/>
    </row>
    <row r="39" spans="1:35" x14ac:dyDescent="0.25">
      <c r="A39" s="121"/>
      <c r="B39" s="126"/>
      <c r="C39" s="32" t="s">
        <v>51</v>
      </c>
      <c r="D39" s="14">
        <v>2</v>
      </c>
      <c r="E39" s="14">
        <v>1</v>
      </c>
      <c r="F39" s="14">
        <v>2</v>
      </c>
      <c r="G39" s="14">
        <v>1</v>
      </c>
      <c r="H39" s="14" t="s">
        <v>9</v>
      </c>
      <c r="I39" s="14" t="s">
        <v>9</v>
      </c>
      <c r="J39" s="14">
        <v>1</v>
      </c>
      <c r="K39" s="14">
        <v>0</v>
      </c>
      <c r="L39" s="14">
        <v>1</v>
      </c>
      <c r="M39" s="14">
        <v>0</v>
      </c>
      <c r="N39" s="14">
        <v>2</v>
      </c>
      <c r="O39" s="14">
        <v>6</v>
      </c>
      <c r="P39" s="14" t="s">
        <v>9</v>
      </c>
      <c r="Q39" s="14">
        <v>3</v>
      </c>
      <c r="R39" s="14">
        <v>2</v>
      </c>
      <c r="S39" s="14">
        <v>0</v>
      </c>
      <c r="T39" s="14" t="s">
        <v>37</v>
      </c>
      <c r="U39" s="14">
        <v>2</v>
      </c>
      <c r="V39" s="14" t="s">
        <v>9</v>
      </c>
      <c r="W39" s="14" t="s">
        <v>9</v>
      </c>
      <c r="X39" s="14" t="s">
        <v>9</v>
      </c>
      <c r="Y39" s="14">
        <v>2</v>
      </c>
      <c r="Z39" s="14" t="s">
        <v>9</v>
      </c>
      <c r="AA39" s="14">
        <v>0</v>
      </c>
      <c r="AB39" s="14">
        <v>1</v>
      </c>
      <c r="AC39" s="14">
        <v>3</v>
      </c>
      <c r="AD39" s="14" t="s">
        <v>9</v>
      </c>
      <c r="AE39" s="14">
        <v>1</v>
      </c>
      <c r="AF39" s="14">
        <v>0</v>
      </c>
      <c r="AG39" s="14">
        <v>1</v>
      </c>
      <c r="AH39" s="28">
        <f t="shared" si="6"/>
        <v>31</v>
      </c>
      <c r="AI39" s="122"/>
    </row>
    <row r="40" spans="1:35" x14ac:dyDescent="0.25">
      <c r="A40" s="90"/>
      <c r="B40" s="127" t="s">
        <v>45</v>
      </c>
      <c r="C40" s="30" t="s">
        <v>46</v>
      </c>
      <c r="D40" s="3">
        <v>13</v>
      </c>
      <c r="E40" s="3">
        <v>10</v>
      </c>
      <c r="F40" s="3">
        <v>5</v>
      </c>
      <c r="G40" s="3">
        <v>13</v>
      </c>
      <c r="H40" s="3" t="s">
        <v>9</v>
      </c>
      <c r="I40" s="3" t="s">
        <v>9</v>
      </c>
      <c r="J40" s="3">
        <v>7</v>
      </c>
      <c r="K40" s="3">
        <v>15</v>
      </c>
      <c r="L40" s="3">
        <v>6</v>
      </c>
      <c r="M40" s="3">
        <v>4</v>
      </c>
      <c r="N40" s="3">
        <v>8</v>
      </c>
      <c r="O40" s="3">
        <v>6</v>
      </c>
      <c r="P40" s="3" t="s">
        <v>9</v>
      </c>
      <c r="Q40" s="3">
        <v>9</v>
      </c>
      <c r="R40" s="17">
        <v>6</v>
      </c>
      <c r="S40" s="3">
        <v>4</v>
      </c>
      <c r="T40" s="3" t="s">
        <v>37</v>
      </c>
      <c r="U40" s="3">
        <v>9</v>
      </c>
      <c r="V40" s="3" t="s">
        <v>9</v>
      </c>
      <c r="W40" s="17" t="s">
        <v>9</v>
      </c>
      <c r="X40" s="17" t="s">
        <v>9</v>
      </c>
      <c r="Y40" s="3">
        <v>6</v>
      </c>
      <c r="Z40" s="3" t="s">
        <v>9</v>
      </c>
      <c r="AA40" s="3">
        <v>5</v>
      </c>
      <c r="AB40" s="3">
        <v>16</v>
      </c>
      <c r="AC40" s="3">
        <v>19</v>
      </c>
      <c r="AD40" s="3" t="s">
        <v>9</v>
      </c>
      <c r="AE40" s="3">
        <v>5</v>
      </c>
      <c r="AF40" s="3">
        <v>3</v>
      </c>
      <c r="AG40" s="3">
        <v>12</v>
      </c>
      <c r="AH40" s="28">
        <f t="shared" si="6"/>
        <v>181</v>
      </c>
      <c r="AI40" s="86"/>
    </row>
    <row r="41" spans="1:35" ht="13.5" thickBot="1" x14ac:dyDescent="0.3">
      <c r="A41" s="91"/>
      <c r="B41" s="128"/>
      <c r="C41" s="31" t="s">
        <v>47</v>
      </c>
      <c r="D41" s="8">
        <v>2</v>
      </c>
      <c r="E41" s="8">
        <v>1</v>
      </c>
      <c r="F41" s="8">
        <v>2</v>
      </c>
      <c r="G41" s="8">
        <v>1</v>
      </c>
      <c r="H41" s="8" t="s">
        <v>9</v>
      </c>
      <c r="I41" s="8" t="s">
        <v>9</v>
      </c>
      <c r="J41" s="8">
        <v>0</v>
      </c>
      <c r="K41" s="8">
        <v>4</v>
      </c>
      <c r="L41" s="8">
        <v>0</v>
      </c>
      <c r="M41" s="8">
        <v>1</v>
      </c>
      <c r="N41" s="8">
        <v>0</v>
      </c>
      <c r="O41" s="8">
        <v>5</v>
      </c>
      <c r="P41" s="8" t="s">
        <v>9</v>
      </c>
      <c r="Q41" s="8">
        <v>0</v>
      </c>
      <c r="R41" s="21">
        <v>2</v>
      </c>
      <c r="S41" s="8">
        <v>0</v>
      </c>
      <c r="T41" s="8" t="s">
        <v>37</v>
      </c>
      <c r="U41" s="8">
        <v>0</v>
      </c>
      <c r="V41" s="8" t="s">
        <v>9</v>
      </c>
      <c r="W41" s="21" t="s">
        <v>9</v>
      </c>
      <c r="X41" s="21" t="s">
        <v>9</v>
      </c>
      <c r="Y41" s="8">
        <v>4</v>
      </c>
      <c r="Z41" s="8" t="s">
        <v>9</v>
      </c>
      <c r="AA41" s="8">
        <v>0</v>
      </c>
      <c r="AB41" s="8">
        <v>0</v>
      </c>
      <c r="AC41" s="8">
        <v>0</v>
      </c>
      <c r="AD41" s="8" t="s">
        <v>9</v>
      </c>
      <c r="AE41" s="8">
        <v>0</v>
      </c>
      <c r="AF41" s="8">
        <v>3</v>
      </c>
      <c r="AG41" s="8">
        <v>1</v>
      </c>
      <c r="AH41" s="26">
        <f t="shared" si="6"/>
        <v>26</v>
      </c>
      <c r="AI41" s="87"/>
    </row>
    <row r="42" spans="1:35" x14ac:dyDescent="0.25">
      <c r="A42" s="124" t="s">
        <v>52</v>
      </c>
      <c r="B42" s="124" t="s">
        <v>18</v>
      </c>
      <c r="C42" s="29" t="s">
        <v>48</v>
      </c>
      <c r="D42" s="7">
        <v>16</v>
      </c>
      <c r="E42" s="7">
        <v>13</v>
      </c>
      <c r="F42" s="7">
        <v>57</v>
      </c>
      <c r="G42" s="7">
        <v>17</v>
      </c>
      <c r="H42" s="7">
        <v>4</v>
      </c>
      <c r="I42" s="7" t="s">
        <v>9</v>
      </c>
      <c r="J42" s="7" t="s">
        <v>9</v>
      </c>
      <c r="K42" s="7">
        <v>2</v>
      </c>
      <c r="L42" s="7">
        <v>7</v>
      </c>
      <c r="M42" s="7">
        <v>1</v>
      </c>
      <c r="N42" s="7">
        <v>3</v>
      </c>
      <c r="O42" s="7" t="s">
        <v>9</v>
      </c>
      <c r="P42" s="7" t="s">
        <v>9</v>
      </c>
      <c r="Q42" s="7">
        <v>12</v>
      </c>
      <c r="R42" s="7">
        <v>0</v>
      </c>
      <c r="S42" s="7">
        <v>7</v>
      </c>
      <c r="T42" s="7">
        <v>6</v>
      </c>
      <c r="U42" s="7" t="s">
        <v>9</v>
      </c>
      <c r="V42" s="7">
        <v>1</v>
      </c>
      <c r="W42" s="7" t="s">
        <v>9</v>
      </c>
      <c r="X42" s="7" t="s">
        <v>9</v>
      </c>
      <c r="Y42" s="7">
        <v>11</v>
      </c>
      <c r="Z42" s="7" t="s">
        <v>9</v>
      </c>
      <c r="AA42" s="7">
        <v>18</v>
      </c>
      <c r="AB42" s="7">
        <v>43</v>
      </c>
      <c r="AC42" s="7" t="s">
        <v>9</v>
      </c>
      <c r="AD42" s="7" t="s">
        <v>9</v>
      </c>
      <c r="AE42" s="7">
        <v>25</v>
      </c>
      <c r="AF42" s="7">
        <v>18</v>
      </c>
      <c r="AG42" s="7">
        <v>14</v>
      </c>
      <c r="AH42" s="27">
        <f t="shared" si="6"/>
        <v>275</v>
      </c>
      <c r="AI42" s="85">
        <f>SUM(AH42:AH47)</f>
        <v>574</v>
      </c>
    </row>
    <row r="43" spans="1:35" ht="15" customHeight="1" x14ac:dyDescent="0.25">
      <c r="A43" s="125"/>
      <c r="B43" s="125"/>
      <c r="C43" s="32" t="s">
        <v>50</v>
      </c>
      <c r="D43" s="14">
        <v>1</v>
      </c>
      <c r="E43" s="14">
        <v>6</v>
      </c>
      <c r="F43" s="14">
        <v>11</v>
      </c>
      <c r="G43" s="14">
        <v>3</v>
      </c>
      <c r="H43" s="14">
        <v>14</v>
      </c>
      <c r="I43" s="14" t="s">
        <v>9</v>
      </c>
      <c r="J43" s="14" t="s">
        <v>9</v>
      </c>
      <c r="K43" s="14">
        <v>6</v>
      </c>
      <c r="L43" s="14">
        <v>3</v>
      </c>
      <c r="M43" s="14">
        <v>2</v>
      </c>
      <c r="N43" s="14">
        <v>1</v>
      </c>
      <c r="O43" s="14" t="s">
        <v>9</v>
      </c>
      <c r="P43" s="14" t="s">
        <v>9</v>
      </c>
      <c r="Q43" s="14">
        <v>3</v>
      </c>
      <c r="R43" s="14">
        <v>5</v>
      </c>
      <c r="S43" s="14">
        <v>15</v>
      </c>
      <c r="T43" s="14">
        <v>5</v>
      </c>
      <c r="U43" s="14" t="s">
        <v>9</v>
      </c>
      <c r="V43" s="14">
        <v>19</v>
      </c>
      <c r="W43" s="14" t="s">
        <v>9</v>
      </c>
      <c r="X43" s="14" t="s">
        <v>9</v>
      </c>
      <c r="Y43" s="14">
        <v>11</v>
      </c>
      <c r="Z43" s="14" t="s">
        <v>9</v>
      </c>
      <c r="AA43" s="14">
        <v>5</v>
      </c>
      <c r="AB43" s="14">
        <v>13</v>
      </c>
      <c r="AC43" s="14" t="s">
        <v>9</v>
      </c>
      <c r="AD43" s="14" t="s">
        <v>9</v>
      </c>
      <c r="AE43" s="14">
        <v>5</v>
      </c>
      <c r="AF43" s="14">
        <v>4</v>
      </c>
      <c r="AG43" s="14">
        <v>1</v>
      </c>
      <c r="AH43" s="28">
        <f t="shared" si="6"/>
        <v>133</v>
      </c>
      <c r="AI43" s="122"/>
    </row>
    <row r="44" spans="1:35" ht="15" customHeight="1" x14ac:dyDescent="0.25">
      <c r="A44" s="125"/>
      <c r="B44" s="125"/>
      <c r="C44" s="32" t="s">
        <v>49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 t="s">
        <v>9</v>
      </c>
      <c r="J44" s="14" t="s">
        <v>9</v>
      </c>
      <c r="K44" s="14">
        <v>0</v>
      </c>
      <c r="L44" s="14">
        <v>0</v>
      </c>
      <c r="M44" s="14">
        <v>0</v>
      </c>
      <c r="N44" s="14">
        <v>0</v>
      </c>
      <c r="O44" s="14" t="s">
        <v>9</v>
      </c>
      <c r="P44" s="14" t="s">
        <v>9</v>
      </c>
      <c r="Q44" s="14">
        <v>0</v>
      </c>
      <c r="R44" s="14">
        <v>0</v>
      </c>
      <c r="S44" s="14">
        <v>0</v>
      </c>
      <c r="T44" s="14">
        <v>0</v>
      </c>
      <c r="U44" s="14" t="s">
        <v>9</v>
      </c>
      <c r="V44" s="14">
        <v>0</v>
      </c>
      <c r="W44" s="14" t="s">
        <v>9</v>
      </c>
      <c r="X44" s="14" t="s">
        <v>9</v>
      </c>
      <c r="Y44" s="14">
        <v>0</v>
      </c>
      <c r="Z44" s="14" t="s">
        <v>9</v>
      </c>
      <c r="AA44" s="14">
        <v>0</v>
      </c>
      <c r="AB44" s="14">
        <v>0</v>
      </c>
      <c r="AC44" s="14" t="s">
        <v>9</v>
      </c>
      <c r="AD44" s="14" t="s">
        <v>9</v>
      </c>
      <c r="AE44" s="14">
        <v>0</v>
      </c>
      <c r="AF44" s="14">
        <v>0</v>
      </c>
      <c r="AG44" s="14">
        <v>0</v>
      </c>
      <c r="AH44" s="28">
        <f t="shared" si="6"/>
        <v>0</v>
      </c>
      <c r="AI44" s="122"/>
    </row>
    <row r="45" spans="1:35" ht="15" customHeight="1" x14ac:dyDescent="0.25">
      <c r="A45" s="125"/>
      <c r="B45" s="126"/>
      <c r="C45" s="32" t="s">
        <v>51</v>
      </c>
      <c r="D45" s="14">
        <v>0</v>
      </c>
      <c r="E45" s="14">
        <v>0</v>
      </c>
      <c r="F45" s="14">
        <v>1</v>
      </c>
      <c r="G45" s="14">
        <v>1</v>
      </c>
      <c r="H45" s="14">
        <v>2</v>
      </c>
      <c r="I45" s="14" t="s">
        <v>9</v>
      </c>
      <c r="J45" s="14" t="s">
        <v>9</v>
      </c>
      <c r="K45" s="14">
        <v>0</v>
      </c>
      <c r="L45" s="14">
        <v>1</v>
      </c>
      <c r="M45" s="14">
        <v>2</v>
      </c>
      <c r="N45" s="14">
        <v>1</v>
      </c>
      <c r="O45" s="14" t="s">
        <v>9</v>
      </c>
      <c r="P45" s="14" t="s">
        <v>9</v>
      </c>
      <c r="Q45" s="14">
        <v>1</v>
      </c>
      <c r="R45" s="14">
        <v>2</v>
      </c>
      <c r="S45" s="14">
        <v>5</v>
      </c>
      <c r="T45" s="14">
        <v>5</v>
      </c>
      <c r="U45" s="14" t="s">
        <v>9</v>
      </c>
      <c r="V45" s="14">
        <v>1</v>
      </c>
      <c r="W45" s="14" t="s">
        <v>9</v>
      </c>
      <c r="X45" s="14" t="s">
        <v>9</v>
      </c>
      <c r="Y45" s="14">
        <v>1</v>
      </c>
      <c r="Z45" s="14" t="s">
        <v>9</v>
      </c>
      <c r="AA45" s="14">
        <v>2</v>
      </c>
      <c r="AB45" s="14">
        <v>2</v>
      </c>
      <c r="AC45" s="14" t="s">
        <v>9</v>
      </c>
      <c r="AD45" s="14" t="s">
        <v>9</v>
      </c>
      <c r="AE45" s="14">
        <v>1</v>
      </c>
      <c r="AF45" s="14">
        <v>2</v>
      </c>
      <c r="AG45" s="14">
        <v>0</v>
      </c>
      <c r="AH45" s="28">
        <f t="shared" si="6"/>
        <v>30</v>
      </c>
      <c r="AI45" s="122"/>
    </row>
    <row r="46" spans="1:35" x14ac:dyDescent="0.25">
      <c r="A46" s="125"/>
      <c r="B46" s="127" t="s">
        <v>45</v>
      </c>
      <c r="C46" s="30" t="s">
        <v>46</v>
      </c>
      <c r="D46" s="3">
        <v>8</v>
      </c>
      <c r="E46" s="3">
        <v>10</v>
      </c>
      <c r="F46" s="3">
        <v>0</v>
      </c>
      <c r="G46" s="3">
        <v>8</v>
      </c>
      <c r="H46" s="3">
        <v>2</v>
      </c>
      <c r="I46" s="3" t="s">
        <v>9</v>
      </c>
      <c r="J46" s="3" t="s">
        <v>9</v>
      </c>
      <c r="K46" s="3">
        <v>2</v>
      </c>
      <c r="L46" s="3">
        <v>1</v>
      </c>
      <c r="M46" s="3">
        <v>2</v>
      </c>
      <c r="N46" s="3">
        <v>2</v>
      </c>
      <c r="O46" s="3" t="s">
        <v>9</v>
      </c>
      <c r="P46" s="3" t="s">
        <v>9</v>
      </c>
      <c r="Q46" s="3">
        <v>3</v>
      </c>
      <c r="R46" s="3">
        <v>5</v>
      </c>
      <c r="S46" s="3">
        <v>10</v>
      </c>
      <c r="T46" s="3">
        <v>13</v>
      </c>
      <c r="U46" s="3" t="s">
        <v>9</v>
      </c>
      <c r="V46" s="3">
        <v>3</v>
      </c>
      <c r="W46" s="3" t="s">
        <v>9</v>
      </c>
      <c r="X46" s="3" t="s">
        <v>9</v>
      </c>
      <c r="Y46" s="3">
        <v>7</v>
      </c>
      <c r="Z46" s="3" t="s">
        <v>9</v>
      </c>
      <c r="AA46" s="3">
        <v>3</v>
      </c>
      <c r="AB46" s="3">
        <v>20</v>
      </c>
      <c r="AC46" s="3" t="s">
        <v>9</v>
      </c>
      <c r="AD46" s="3" t="s">
        <v>9</v>
      </c>
      <c r="AE46" s="3">
        <v>5</v>
      </c>
      <c r="AF46" s="3">
        <v>5</v>
      </c>
      <c r="AG46" s="3">
        <v>12</v>
      </c>
      <c r="AH46" s="28">
        <f t="shared" si="6"/>
        <v>121</v>
      </c>
      <c r="AI46" s="86"/>
    </row>
    <row r="47" spans="1:35" ht="13.5" thickBot="1" x14ac:dyDescent="0.3">
      <c r="A47" s="128"/>
      <c r="B47" s="128"/>
      <c r="C47" s="31" t="s">
        <v>47</v>
      </c>
      <c r="D47" s="8">
        <v>0</v>
      </c>
      <c r="E47" s="8">
        <v>0</v>
      </c>
      <c r="F47" s="8">
        <v>0</v>
      </c>
      <c r="G47" s="8">
        <v>4</v>
      </c>
      <c r="H47" s="8">
        <v>0</v>
      </c>
      <c r="I47" s="8" t="s">
        <v>9</v>
      </c>
      <c r="J47" s="8" t="s">
        <v>9</v>
      </c>
      <c r="K47" s="8">
        <v>0</v>
      </c>
      <c r="L47" s="8">
        <v>1</v>
      </c>
      <c r="M47" s="8">
        <v>0</v>
      </c>
      <c r="N47" s="8">
        <v>0</v>
      </c>
      <c r="O47" s="8" t="s">
        <v>9</v>
      </c>
      <c r="P47" s="8" t="s">
        <v>9</v>
      </c>
      <c r="Q47" s="8">
        <v>0</v>
      </c>
      <c r="R47" s="8">
        <v>0</v>
      </c>
      <c r="S47" s="8">
        <v>1</v>
      </c>
      <c r="T47" s="8">
        <v>0</v>
      </c>
      <c r="U47" s="8" t="s">
        <v>9</v>
      </c>
      <c r="V47" s="8">
        <v>0</v>
      </c>
      <c r="W47" s="8" t="s">
        <v>9</v>
      </c>
      <c r="X47" s="8" t="s">
        <v>9</v>
      </c>
      <c r="Y47" s="8">
        <v>1</v>
      </c>
      <c r="Z47" s="8" t="s">
        <v>9</v>
      </c>
      <c r="AA47" s="8">
        <v>3</v>
      </c>
      <c r="AB47" s="8">
        <v>0</v>
      </c>
      <c r="AC47" s="8" t="s">
        <v>9</v>
      </c>
      <c r="AD47" s="8" t="s">
        <v>9</v>
      </c>
      <c r="AE47" s="8">
        <v>1</v>
      </c>
      <c r="AF47" s="8">
        <v>1</v>
      </c>
      <c r="AG47" s="8">
        <v>3</v>
      </c>
      <c r="AH47" s="26">
        <f t="shared" si="6"/>
        <v>15</v>
      </c>
      <c r="AI47" s="87"/>
    </row>
    <row r="48" spans="1:35" x14ac:dyDescent="0.25">
      <c r="A48" s="129" t="s">
        <v>31</v>
      </c>
      <c r="B48" s="124" t="s">
        <v>18</v>
      </c>
      <c r="C48" s="29" t="s">
        <v>48</v>
      </c>
      <c r="D48" s="7">
        <v>11</v>
      </c>
      <c r="E48" s="7">
        <v>0</v>
      </c>
      <c r="F48" s="7">
        <v>34</v>
      </c>
      <c r="G48" s="7">
        <v>11</v>
      </c>
      <c r="H48" s="7">
        <v>13</v>
      </c>
      <c r="I48" s="7" t="s">
        <v>9</v>
      </c>
      <c r="J48" s="7">
        <v>2</v>
      </c>
      <c r="K48" s="7">
        <v>1</v>
      </c>
      <c r="L48" s="7">
        <v>9</v>
      </c>
      <c r="M48" s="7">
        <v>2</v>
      </c>
      <c r="N48" s="7">
        <v>15</v>
      </c>
      <c r="O48" s="20" t="s">
        <v>9</v>
      </c>
      <c r="P48" s="7" t="s">
        <v>9</v>
      </c>
      <c r="Q48" s="7">
        <v>0</v>
      </c>
      <c r="R48" s="20">
        <v>4</v>
      </c>
      <c r="S48" s="7">
        <v>8</v>
      </c>
      <c r="T48" s="7">
        <v>1</v>
      </c>
      <c r="U48" s="7">
        <v>0</v>
      </c>
      <c r="V48" s="7">
        <v>0</v>
      </c>
      <c r="W48" s="7" t="s">
        <v>9</v>
      </c>
      <c r="X48" s="7" t="s">
        <v>9</v>
      </c>
      <c r="Y48" s="7">
        <v>10</v>
      </c>
      <c r="Z48" s="7" t="s">
        <v>9</v>
      </c>
      <c r="AA48" s="7">
        <v>23</v>
      </c>
      <c r="AB48" s="7">
        <v>18</v>
      </c>
      <c r="AC48" s="7" t="s">
        <v>9</v>
      </c>
      <c r="AD48" s="7" t="s">
        <v>9</v>
      </c>
      <c r="AE48" s="7">
        <v>16</v>
      </c>
      <c r="AF48" s="7">
        <v>25</v>
      </c>
      <c r="AG48" s="7">
        <v>28</v>
      </c>
      <c r="AH48" s="27">
        <f t="shared" ref="AH48:AH53" si="8">SUM(D48:AG48)</f>
        <v>231</v>
      </c>
      <c r="AI48" s="85">
        <f>SUM(AH48:AH53)</f>
        <v>429</v>
      </c>
    </row>
    <row r="49" spans="1:35" x14ac:dyDescent="0.25">
      <c r="A49" s="126"/>
      <c r="B49" s="125"/>
      <c r="C49" s="32" t="s">
        <v>50</v>
      </c>
      <c r="D49" s="14">
        <v>2</v>
      </c>
      <c r="E49" s="14">
        <v>0</v>
      </c>
      <c r="F49" s="14">
        <v>1</v>
      </c>
      <c r="G49" s="14">
        <v>3</v>
      </c>
      <c r="H49" s="14">
        <v>2</v>
      </c>
      <c r="I49" s="14" t="s">
        <v>9</v>
      </c>
      <c r="J49" s="14">
        <v>0</v>
      </c>
      <c r="K49" s="14">
        <v>1</v>
      </c>
      <c r="L49" s="14">
        <v>0</v>
      </c>
      <c r="M49" s="14">
        <v>4</v>
      </c>
      <c r="N49" s="14">
        <v>1</v>
      </c>
      <c r="O49" s="14" t="s">
        <v>9</v>
      </c>
      <c r="P49" s="14" t="s">
        <v>9</v>
      </c>
      <c r="Q49" s="14">
        <v>0</v>
      </c>
      <c r="R49" s="14">
        <v>2</v>
      </c>
      <c r="S49" s="14">
        <v>1</v>
      </c>
      <c r="T49" s="14">
        <v>0</v>
      </c>
      <c r="U49" s="14">
        <v>3</v>
      </c>
      <c r="V49" s="14">
        <v>0</v>
      </c>
      <c r="W49" s="14" t="s">
        <v>9</v>
      </c>
      <c r="X49" s="14" t="s">
        <v>9</v>
      </c>
      <c r="Y49" s="14">
        <v>1</v>
      </c>
      <c r="Z49" s="14" t="s">
        <v>9</v>
      </c>
      <c r="AA49" s="14">
        <v>3</v>
      </c>
      <c r="AB49" s="14">
        <v>2</v>
      </c>
      <c r="AC49" s="14" t="s">
        <v>9</v>
      </c>
      <c r="AD49" s="14" t="s">
        <v>9</v>
      </c>
      <c r="AE49" s="14">
        <v>1</v>
      </c>
      <c r="AF49" s="14">
        <v>5</v>
      </c>
      <c r="AG49" s="14">
        <v>0</v>
      </c>
      <c r="AH49" s="28">
        <f t="shared" si="8"/>
        <v>32</v>
      </c>
      <c r="AI49" s="122"/>
    </row>
    <row r="50" spans="1:35" x14ac:dyDescent="0.25">
      <c r="A50" s="126"/>
      <c r="B50" s="125"/>
      <c r="C50" s="32" t="s">
        <v>49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 t="s">
        <v>9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 t="s">
        <v>9</v>
      </c>
      <c r="P50" s="14" t="s">
        <v>9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 t="s">
        <v>9</v>
      </c>
      <c r="X50" s="14" t="s">
        <v>9</v>
      </c>
      <c r="Y50" s="14">
        <v>0</v>
      </c>
      <c r="Z50" s="14" t="s">
        <v>9</v>
      </c>
      <c r="AA50" s="14">
        <v>0</v>
      </c>
      <c r="AB50" s="14">
        <v>0</v>
      </c>
      <c r="AC50" s="14" t="s">
        <v>9</v>
      </c>
      <c r="AD50" s="14" t="s">
        <v>9</v>
      </c>
      <c r="AE50" s="14">
        <v>0</v>
      </c>
      <c r="AF50" s="14">
        <v>0</v>
      </c>
      <c r="AG50" s="14">
        <v>0</v>
      </c>
      <c r="AH50" s="28">
        <f t="shared" si="8"/>
        <v>0</v>
      </c>
      <c r="AI50" s="122"/>
    </row>
    <row r="51" spans="1:35" x14ac:dyDescent="0.25">
      <c r="A51" s="126"/>
      <c r="B51" s="126"/>
      <c r="C51" s="32" t="s">
        <v>51</v>
      </c>
      <c r="D51" s="14">
        <v>0</v>
      </c>
      <c r="E51" s="14">
        <v>1</v>
      </c>
      <c r="F51" s="14">
        <v>1</v>
      </c>
      <c r="G51" s="14">
        <v>0</v>
      </c>
      <c r="H51" s="14">
        <v>0</v>
      </c>
      <c r="I51" s="14" t="s">
        <v>9</v>
      </c>
      <c r="J51" s="14">
        <v>1</v>
      </c>
      <c r="K51" s="14">
        <v>1</v>
      </c>
      <c r="L51" s="14">
        <v>4</v>
      </c>
      <c r="M51" s="14">
        <v>2</v>
      </c>
      <c r="N51" s="14">
        <v>0</v>
      </c>
      <c r="O51" s="14" t="s">
        <v>9</v>
      </c>
      <c r="P51" s="14" t="s">
        <v>9</v>
      </c>
      <c r="Q51" s="14">
        <v>0</v>
      </c>
      <c r="R51" s="14">
        <v>3</v>
      </c>
      <c r="S51" s="14">
        <v>1</v>
      </c>
      <c r="T51" s="14">
        <v>1</v>
      </c>
      <c r="U51" s="14">
        <v>2</v>
      </c>
      <c r="V51" s="14">
        <v>0</v>
      </c>
      <c r="W51" s="14" t="s">
        <v>9</v>
      </c>
      <c r="X51" s="14" t="s">
        <v>9</v>
      </c>
      <c r="Y51" s="14">
        <v>3</v>
      </c>
      <c r="Z51" s="14" t="s">
        <v>9</v>
      </c>
      <c r="AA51" s="14">
        <v>3</v>
      </c>
      <c r="AB51" s="14">
        <v>3</v>
      </c>
      <c r="AC51" s="14" t="s">
        <v>9</v>
      </c>
      <c r="AD51" s="14" t="s">
        <v>9</v>
      </c>
      <c r="AE51" s="14">
        <v>0</v>
      </c>
      <c r="AF51" s="14">
        <v>0</v>
      </c>
      <c r="AG51" s="14">
        <v>3</v>
      </c>
      <c r="AH51" s="28">
        <f t="shared" si="8"/>
        <v>29</v>
      </c>
      <c r="AI51" s="122"/>
    </row>
    <row r="52" spans="1:35" x14ac:dyDescent="0.25">
      <c r="A52" s="130"/>
      <c r="B52" s="127" t="s">
        <v>45</v>
      </c>
      <c r="C52" s="30" t="s">
        <v>46</v>
      </c>
      <c r="D52" s="3">
        <v>4</v>
      </c>
      <c r="E52" s="3">
        <v>3</v>
      </c>
      <c r="F52" s="3">
        <v>4</v>
      </c>
      <c r="G52" s="3">
        <v>9</v>
      </c>
      <c r="H52" s="3">
        <v>4</v>
      </c>
      <c r="I52" s="3" t="s">
        <v>9</v>
      </c>
      <c r="J52" s="3">
        <v>3</v>
      </c>
      <c r="K52" s="3">
        <v>7</v>
      </c>
      <c r="L52" s="3">
        <v>18</v>
      </c>
      <c r="M52" s="3">
        <v>6</v>
      </c>
      <c r="N52" s="3">
        <v>2</v>
      </c>
      <c r="O52" s="17" t="s">
        <v>9</v>
      </c>
      <c r="P52" s="3" t="s">
        <v>9</v>
      </c>
      <c r="Q52" s="3">
        <v>3</v>
      </c>
      <c r="R52" s="17">
        <v>3</v>
      </c>
      <c r="S52" s="3">
        <v>5</v>
      </c>
      <c r="T52" s="3">
        <v>6</v>
      </c>
      <c r="U52" s="3">
        <v>5</v>
      </c>
      <c r="V52" s="3">
        <v>0</v>
      </c>
      <c r="W52" s="3" t="s">
        <v>9</v>
      </c>
      <c r="X52" s="3" t="s">
        <v>9</v>
      </c>
      <c r="Y52" s="3">
        <v>12</v>
      </c>
      <c r="Z52" s="3" t="s">
        <v>9</v>
      </c>
      <c r="AA52" s="3">
        <v>17</v>
      </c>
      <c r="AB52" s="3">
        <v>10</v>
      </c>
      <c r="AC52" s="3" t="s">
        <v>9</v>
      </c>
      <c r="AD52" s="3" t="s">
        <v>9</v>
      </c>
      <c r="AE52" s="3">
        <v>11</v>
      </c>
      <c r="AF52" s="3">
        <v>5</v>
      </c>
      <c r="AG52" s="3">
        <v>0</v>
      </c>
      <c r="AH52" s="28">
        <f t="shared" si="8"/>
        <v>137</v>
      </c>
      <c r="AI52" s="86"/>
    </row>
    <row r="53" spans="1:35" ht="13.5" thickBot="1" x14ac:dyDescent="0.3">
      <c r="A53" s="131"/>
      <c r="B53" s="128"/>
      <c r="C53" s="31" t="s">
        <v>47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 t="s">
        <v>9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21" t="s">
        <v>9</v>
      </c>
      <c r="P53" s="8" t="s">
        <v>9</v>
      </c>
      <c r="Q53" s="8">
        <v>0</v>
      </c>
      <c r="R53" s="21">
        <v>0</v>
      </c>
      <c r="S53" s="8">
        <v>0</v>
      </c>
      <c r="T53" s="8">
        <v>0</v>
      </c>
      <c r="U53" s="8">
        <v>0</v>
      </c>
      <c r="V53" s="8">
        <v>0</v>
      </c>
      <c r="W53" s="8" t="s">
        <v>9</v>
      </c>
      <c r="X53" s="8" t="s">
        <v>9</v>
      </c>
      <c r="Y53" s="8">
        <v>0</v>
      </c>
      <c r="Z53" s="8" t="s">
        <v>9</v>
      </c>
      <c r="AA53" s="8">
        <v>0</v>
      </c>
      <c r="AB53" s="8">
        <v>0</v>
      </c>
      <c r="AC53" s="8" t="s">
        <v>9</v>
      </c>
      <c r="AD53" s="8" t="s">
        <v>9</v>
      </c>
      <c r="AE53" s="8">
        <v>0</v>
      </c>
      <c r="AF53" s="8">
        <v>0</v>
      </c>
      <c r="AG53" s="8">
        <v>0</v>
      </c>
      <c r="AH53" s="26">
        <f t="shared" si="8"/>
        <v>0</v>
      </c>
      <c r="AI53" s="87"/>
    </row>
    <row r="54" spans="1:35" x14ac:dyDescent="0.25">
      <c r="A54" s="89" t="s">
        <v>34</v>
      </c>
      <c r="B54" s="124" t="s">
        <v>18</v>
      </c>
      <c r="C54" s="29" t="s">
        <v>48</v>
      </c>
      <c r="D54" s="7">
        <v>17</v>
      </c>
      <c r="E54" s="7">
        <v>15</v>
      </c>
      <c r="F54" s="7">
        <v>6</v>
      </c>
      <c r="G54" s="7">
        <v>33</v>
      </c>
      <c r="H54" s="7" t="s">
        <v>9</v>
      </c>
      <c r="I54" s="7" t="s">
        <v>9</v>
      </c>
      <c r="J54" s="7">
        <v>2</v>
      </c>
      <c r="K54" s="7" t="s">
        <v>37</v>
      </c>
      <c r="L54" s="7">
        <v>4</v>
      </c>
      <c r="M54" s="7">
        <v>1</v>
      </c>
      <c r="N54" s="7">
        <v>1</v>
      </c>
      <c r="O54" s="7">
        <v>18</v>
      </c>
      <c r="P54" s="7" t="s">
        <v>9</v>
      </c>
      <c r="Q54" s="7">
        <v>0</v>
      </c>
      <c r="R54" s="7">
        <v>1</v>
      </c>
      <c r="S54" s="7">
        <v>1</v>
      </c>
      <c r="T54" s="7">
        <v>8</v>
      </c>
      <c r="U54" s="7" t="s">
        <v>9</v>
      </c>
      <c r="V54" s="7" t="s">
        <v>9</v>
      </c>
      <c r="W54" s="7" t="s">
        <v>9</v>
      </c>
      <c r="X54" s="7" t="s">
        <v>9</v>
      </c>
      <c r="Y54" s="7">
        <v>3</v>
      </c>
      <c r="Z54" s="7" t="s">
        <v>9</v>
      </c>
      <c r="AA54" s="7">
        <v>8</v>
      </c>
      <c r="AB54" s="7">
        <v>14</v>
      </c>
      <c r="AC54" s="7">
        <v>17</v>
      </c>
      <c r="AD54" s="7" t="s">
        <v>9</v>
      </c>
      <c r="AE54" s="7">
        <v>20</v>
      </c>
      <c r="AF54" s="7">
        <v>8</v>
      </c>
      <c r="AG54" s="7">
        <v>13</v>
      </c>
      <c r="AH54" s="27">
        <f t="shared" ref="AH54:AH59" si="9">SUM(D54:AG54)</f>
        <v>190</v>
      </c>
      <c r="AI54" s="85">
        <f>SUM(AH54:AH59)</f>
        <v>395</v>
      </c>
    </row>
    <row r="55" spans="1:35" x14ac:dyDescent="0.25">
      <c r="A55" s="121"/>
      <c r="B55" s="125"/>
      <c r="C55" s="32" t="s">
        <v>50</v>
      </c>
      <c r="D55" s="14">
        <v>1</v>
      </c>
      <c r="E55" s="14">
        <v>1</v>
      </c>
      <c r="F55" s="14">
        <v>2</v>
      </c>
      <c r="G55" s="14">
        <v>0</v>
      </c>
      <c r="H55" s="14" t="s">
        <v>9</v>
      </c>
      <c r="I55" s="14" t="s">
        <v>9</v>
      </c>
      <c r="J55" s="14">
        <v>0</v>
      </c>
      <c r="K55" s="14" t="s">
        <v>37</v>
      </c>
      <c r="L55" s="14">
        <v>8</v>
      </c>
      <c r="M55" s="14">
        <v>0</v>
      </c>
      <c r="N55" s="14">
        <v>6</v>
      </c>
      <c r="O55" s="14">
        <v>3</v>
      </c>
      <c r="P55" s="14" t="s">
        <v>9</v>
      </c>
      <c r="Q55" s="14">
        <v>4</v>
      </c>
      <c r="R55" s="14">
        <v>5</v>
      </c>
      <c r="S55" s="14">
        <v>3</v>
      </c>
      <c r="T55" s="14">
        <v>6</v>
      </c>
      <c r="U55" s="14" t="s">
        <v>9</v>
      </c>
      <c r="V55" s="14" t="s">
        <v>9</v>
      </c>
      <c r="W55" s="14" t="s">
        <v>9</v>
      </c>
      <c r="X55" s="14" t="s">
        <v>9</v>
      </c>
      <c r="Y55" s="14">
        <v>16</v>
      </c>
      <c r="Z55" s="14" t="s">
        <v>9</v>
      </c>
      <c r="AA55" s="14">
        <v>1</v>
      </c>
      <c r="AB55" s="14">
        <v>0</v>
      </c>
      <c r="AC55" s="14">
        <v>1</v>
      </c>
      <c r="AD55" s="14" t="s">
        <v>9</v>
      </c>
      <c r="AE55" s="14">
        <v>0</v>
      </c>
      <c r="AF55" s="14">
        <v>9</v>
      </c>
      <c r="AG55" s="14">
        <v>17</v>
      </c>
      <c r="AH55" s="28">
        <f t="shared" si="9"/>
        <v>83</v>
      </c>
      <c r="AI55" s="122"/>
    </row>
    <row r="56" spans="1:35" x14ac:dyDescent="0.25">
      <c r="A56" s="121"/>
      <c r="B56" s="125"/>
      <c r="C56" s="32" t="s">
        <v>49</v>
      </c>
      <c r="D56" s="14">
        <v>0</v>
      </c>
      <c r="E56" s="14">
        <v>1</v>
      </c>
      <c r="F56" s="14">
        <v>0</v>
      </c>
      <c r="G56" s="14">
        <v>0</v>
      </c>
      <c r="H56" s="14" t="s">
        <v>9</v>
      </c>
      <c r="I56" s="14" t="s">
        <v>9</v>
      </c>
      <c r="J56" s="14">
        <v>0</v>
      </c>
      <c r="K56" s="14" t="s">
        <v>37</v>
      </c>
      <c r="L56" s="14">
        <v>0</v>
      </c>
      <c r="M56" s="14">
        <v>0</v>
      </c>
      <c r="N56" s="14">
        <v>0</v>
      </c>
      <c r="O56" s="14">
        <v>0</v>
      </c>
      <c r="P56" s="14" t="s">
        <v>9</v>
      </c>
      <c r="Q56" s="14">
        <v>0</v>
      </c>
      <c r="R56" s="14">
        <v>0</v>
      </c>
      <c r="S56" s="14">
        <v>0</v>
      </c>
      <c r="T56" s="14">
        <v>0</v>
      </c>
      <c r="U56" s="14" t="s">
        <v>9</v>
      </c>
      <c r="V56" s="14" t="s">
        <v>9</v>
      </c>
      <c r="W56" s="14" t="s">
        <v>9</v>
      </c>
      <c r="X56" s="14" t="s">
        <v>9</v>
      </c>
      <c r="Y56" s="14">
        <v>0</v>
      </c>
      <c r="Z56" s="14" t="s">
        <v>9</v>
      </c>
      <c r="AA56" s="14">
        <v>0</v>
      </c>
      <c r="AB56" s="14">
        <v>0</v>
      </c>
      <c r="AC56" s="14">
        <v>0</v>
      </c>
      <c r="AD56" s="14" t="s">
        <v>9</v>
      </c>
      <c r="AE56" s="14">
        <v>0</v>
      </c>
      <c r="AF56" s="14">
        <v>0</v>
      </c>
      <c r="AG56" s="14">
        <v>1</v>
      </c>
      <c r="AH56" s="28">
        <f t="shared" si="9"/>
        <v>2</v>
      </c>
      <c r="AI56" s="122"/>
    </row>
    <row r="57" spans="1:35" x14ac:dyDescent="0.25">
      <c r="A57" s="121"/>
      <c r="B57" s="126"/>
      <c r="C57" s="32" t="s">
        <v>51</v>
      </c>
      <c r="D57" s="14">
        <v>1</v>
      </c>
      <c r="E57" s="14">
        <v>3</v>
      </c>
      <c r="F57" s="14">
        <v>2</v>
      </c>
      <c r="G57" s="14">
        <v>1</v>
      </c>
      <c r="H57" s="14" t="s">
        <v>9</v>
      </c>
      <c r="I57" s="14" t="s">
        <v>9</v>
      </c>
      <c r="J57" s="14">
        <v>3</v>
      </c>
      <c r="K57" s="14" t="s">
        <v>37</v>
      </c>
      <c r="L57" s="14">
        <v>0</v>
      </c>
      <c r="M57" s="14">
        <v>1</v>
      </c>
      <c r="N57" s="14">
        <v>3</v>
      </c>
      <c r="O57" s="14">
        <v>1</v>
      </c>
      <c r="P57" s="14" t="s">
        <v>9</v>
      </c>
      <c r="Q57" s="14">
        <v>0</v>
      </c>
      <c r="R57" s="14">
        <v>3</v>
      </c>
      <c r="S57" s="14">
        <v>0</v>
      </c>
      <c r="T57" s="14">
        <v>2</v>
      </c>
      <c r="U57" s="14" t="s">
        <v>9</v>
      </c>
      <c r="V57" s="14" t="s">
        <v>9</v>
      </c>
      <c r="W57" s="14" t="s">
        <v>9</v>
      </c>
      <c r="X57" s="14" t="s">
        <v>9</v>
      </c>
      <c r="Y57" s="14">
        <v>2</v>
      </c>
      <c r="Z57" s="14" t="s">
        <v>9</v>
      </c>
      <c r="AA57" s="14">
        <v>0</v>
      </c>
      <c r="AB57" s="14">
        <v>3</v>
      </c>
      <c r="AC57" s="14">
        <v>2</v>
      </c>
      <c r="AD57" s="14" t="s">
        <v>9</v>
      </c>
      <c r="AE57" s="14">
        <v>1</v>
      </c>
      <c r="AF57" s="14">
        <v>2</v>
      </c>
      <c r="AG57" s="14">
        <v>1</v>
      </c>
      <c r="AH57" s="28">
        <f t="shared" si="9"/>
        <v>31</v>
      </c>
      <c r="AI57" s="122"/>
    </row>
    <row r="58" spans="1:35" x14ac:dyDescent="0.25">
      <c r="A58" s="90"/>
      <c r="B58" s="127" t="s">
        <v>45</v>
      </c>
      <c r="C58" s="30" t="s">
        <v>46</v>
      </c>
      <c r="D58" s="3">
        <v>6</v>
      </c>
      <c r="E58" s="3">
        <v>4</v>
      </c>
      <c r="F58" s="3">
        <v>3</v>
      </c>
      <c r="G58" s="3">
        <v>8</v>
      </c>
      <c r="H58" s="3" t="s">
        <v>9</v>
      </c>
      <c r="I58" s="3" t="s">
        <v>9</v>
      </c>
      <c r="J58" s="3">
        <v>3</v>
      </c>
      <c r="K58" s="3" t="s">
        <v>37</v>
      </c>
      <c r="L58" s="3">
        <v>2</v>
      </c>
      <c r="M58" s="3">
        <v>3</v>
      </c>
      <c r="N58" s="3">
        <v>3</v>
      </c>
      <c r="O58" s="3">
        <v>3</v>
      </c>
      <c r="P58" s="3" t="s">
        <v>9</v>
      </c>
      <c r="Q58" s="3">
        <v>1</v>
      </c>
      <c r="R58" s="3">
        <v>5</v>
      </c>
      <c r="S58" s="3">
        <v>1</v>
      </c>
      <c r="T58" s="3">
        <v>3</v>
      </c>
      <c r="U58" s="3" t="s">
        <v>9</v>
      </c>
      <c r="V58" s="3" t="s">
        <v>9</v>
      </c>
      <c r="W58" s="3" t="s">
        <v>9</v>
      </c>
      <c r="X58" s="3" t="s">
        <v>9</v>
      </c>
      <c r="Y58" s="3">
        <v>4</v>
      </c>
      <c r="Z58" s="3" t="s">
        <v>9</v>
      </c>
      <c r="AA58" s="3">
        <v>3</v>
      </c>
      <c r="AB58" s="3">
        <v>8</v>
      </c>
      <c r="AC58" s="3">
        <v>10</v>
      </c>
      <c r="AD58" s="3" t="s">
        <v>9</v>
      </c>
      <c r="AE58" s="3">
        <v>4</v>
      </c>
      <c r="AF58" s="3">
        <v>6</v>
      </c>
      <c r="AG58" s="3">
        <v>8</v>
      </c>
      <c r="AH58" s="28">
        <f t="shared" si="9"/>
        <v>88</v>
      </c>
      <c r="AI58" s="86"/>
    </row>
    <row r="59" spans="1:35" ht="13.5" thickBot="1" x14ac:dyDescent="0.3">
      <c r="A59" s="91"/>
      <c r="B59" s="128"/>
      <c r="C59" s="31" t="s">
        <v>47</v>
      </c>
      <c r="D59" s="8">
        <v>0</v>
      </c>
      <c r="E59" s="8">
        <v>0</v>
      </c>
      <c r="F59" s="8">
        <v>0</v>
      </c>
      <c r="G59" s="8">
        <v>0</v>
      </c>
      <c r="H59" s="8" t="s">
        <v>9</v>
      </c>
      <c r="I59" s="8" t="s">
        <v>9</v>
      </c>
      <c r="J59" s="8">
        <v>0</v>
      </c>
      <c r="K59" s="8" t="s">
        <v>37</v>
      </c>
      <c r="L59" s="8">
        <v>0</v>
      </c>
      <c r="M59" s="8">
        <v>0</v>
      </c>
      <c r="N59" s="8">
        <v>0</v>
      </c>
      <c r="O59" s="8">
        <v>0</v>
      </c>
      <c r="P59" s="8" t="s">
        <v>9</v>
      </c>
      <c r="Q59" s="8">
        <v>0</v>
      </c>
      <c r="R59" s="8">
        <v>0</v>
      </c>
      <c r="S59" s="8">
        <v>0</v>
      </c>
      <c r="T59" s="8">
        <v>0</v>
      </c>
      <c r="U59" s="8" t="s">
        <v>9</v>
      </c>
      <c r="V59" s="8" t="s">
        <v>9</v>
      </c>
      <c r="W59" s="8" t="s">
        <v>9</v>
      </c>
      <c r="X59" s="8" t="s">
        <v>9</v>
      </c>
      <c r="Y59" s="8">
        <v>1</v>
      </c>
      <c r="Z59" s="8" t="s">
        <v>9</v>
      </c>
      <c r="AA59" s="8">
        <v>0</v>
      </c>
      <c r="AB59" s="8">
        <v>0</v>
      </c>
      <c r="AC59" s="8">
        <v>0</v>
      </c>
      <c r="AD59" s="8" t="s">
        <v>9</v>
      </c>
      <c r="AE59" s="8">
        <v>0</v>
      </c>
      <c r="AF59" s="8">
        <v>0</v>
      </c>
      <c r="AG59" s="8">
        <v>0</v>
      </c>
      <c r="AH59" s="26">
        <f t="shared" si="9"/>
        <v>1</v>
      </c>
      <c r="AI59" s="87"/>
    </row>
    <row r="60" spans="1:35" x14ac:dyDescent="0.25">
      <c r="A60" s="142" t="s">
        <v>22</v>
      </c>
      <c r="B60" s="124" t="s">
        <v>18</v>
      </c>
      <c r="C60" s="29" t="s">
        <v>48</v>
      </c>
      <c r="D60" s="7">
        <v>12</v>
      </c>
      <c r="E60" s="7">
        <v>11</v>
      </c>
      <c r="F60" s="7">
        <v>10</v>
      </c>
      <c r="G60" s="7" t="s">
        <v>9</v>
      </c>
      <c r="H60" s="7">
        <v>19</v>
      </c>
      <c r="I60" s="7" t="s">
        <v>9</v>
      </c>
      <c r="J60" s="7">
        <v>13</v>
      </c>
      <c r="K60" s="7">
        <v>2</v>
      </c>
      <c r="L60" s="7">
        <v>0</v>
      </c>
      <c r="M60" s="7">
        <v>0</v>
      </c>
      <c r="N60" s="7">
        <v>0</v>
      </c>
      <c r="O60" s="7" t="s">
        <v>9</v>
      </c>
      <c r="P60" s="7" t="s">
        <v>9</v>
      </c>
      <c r="Q60" s="7">
        <v>0</v>
      </c>
      <c r="R60" s="7">
        <v>1</v>
      </c>
      <c r="S60" s="7">
        <v>0</v>
      </c>
      <c r="T60" s="7">
        <v>0</v>
      </c>
      <c r="U60" s="7" t="s">
        <v>9</v>
      </c>
      <c r="V60" s="7">
        <v>0</v>
      </c>
      <c r="W60" s="7" t="s">
        <v>9</v>
      </c>
      <c r="X60" s="7" t="s">
        <v>9</v>
      </c>
      <c r="Y60" s="7">
        <v>0</v>
      </c>
      <c r="Z60" s="7" t="s">
        <v>9</v>
      </c>
      <c r="AA60" s="7">
        <v>10</v>
      </c>
      <c r="AB60" s="7">
        <v>5</v>
      </c>
      <c r="AC60" s="7" t="s">
        <v>9</v>
      </c>
      <c r="AD60" s="7" t="s">
        <v>9</v>
      </c>
      <c r="AE60" s="7">
        <v>12</v>
      </c>
      <c r="AF60" s="7">
        <v>18</v>
      </c>
      <c r="AG60" s="7">
        <v>31</v>
      </c>
      <c r="AH60" s="27">
        <f t="shared" ref="AH60:AH65" si="10">SUM(D60:AG60)</f>
        <v>144</v>
      </c>
      <c r="AI60" s="85">
        <f>SUM(AH60:AH65)</f>
        <v>291</v>
      </c>
    </row>
    <row r="61" spans="1:35" x14ac:dyDescent="0.25">
      <c r="A61" s="143"/>
      <c r="B61" s="125"/>
      <c r="C61" s="32" t="s">
        <v>50</v>
      </c>
      <c r="D61" s="14">
        <v>3</v>
      </c>
      <c r="E61" s="14">
        <v>3</v>
      </c>
      <c r="F61" s="14">
        <v>3</v>
      </c>
      <c r="G61" s="14" t="s">
        <v>9</v>
      </c>
      <c r="H61" s="14">
        <v>7</v>
      </c>
      <c r="I61" s="14" t="s">
        <v>9</v>
      </c>
      <c r="J61" s="14">
        <v>11</v>
      </c>
      <c r="K61" s="14">
        <v>1</v>
      </c>
      <c r="L61" s="14">
        <v>3</v>
      </c>
      <c r="M61" s="14">
        <v>0</v>
      </c>
      <c r="N61" s="14">
        <v>3</v>
      </c>
      <c r="O61" s="14" t="s">
        <v>9</v>
      </c>
      <c r="P61" s="14" t="s">
        <v>9</v>
      </c>
      <c r="Q61" s="14">
        <v>0</v>
      </c>
      <c r="R61" s="14">
        <v>5</v>
      </c>
      <c r="S61" s="14">
        <v>2</v>
      </c>
      <c r="T61" s="14">
        <v>0</v>
      </c>
      <c r="U61" s="14" t="s">
        <v>9</v>
      </c>
      <c r="V61" s="14">
        <v>8</v>
      </c>
      <c r="W61" s="14" t="s">
        <v>9</v>
      </c>
      <c r="X61" s="14" t="s">
        <v>9</v>
      </c>
      <c r="Y61" s="14">
        <v>7</v>
      </c>
      <c r="Z61" s="14" t="s">
        <v>9</v>
      </c>
      <c r="AA61" s="14">
        <v>0</v>
      </c>
      <c r="AB61" s="14">
        <v>3</v>
      </c>
      <c r="AC61" s="14" t="s">
        <v>9</v>
      </c>
      <c r="AD61" s="14" t="s">
        <v>9</v>
      </c>
      <c r="AE61" s="14">
        <v>7</v>
      </c>
      <c r="AF61" s="14">
        <v>2</v>
      </c>
      <c r="AG61" s="14">
        <v>2</v>
      </c>
      <c r="AH61" s="28">
        <f t="shared" si="10"/>
        <v>70</v>
      </c>
      <c r="AI61" s="122"/>
    </row>
    <row r="62" spans="1:35" x14ac:dyDescent="0.25">
      <c r="A62" s="143"/>
      <c r="B62" s="125"/>
      <c r="C62" s="32" t="s">
        <v>49</v>
      </c>
      <c r="D62" s="14">
        <v>0</v>
      </c>
      <c r="E62" s="14">
        <v>0</v>
      </c>
      <c r="F62" s="14">
        <v>0</v>
      </c>
      <c r="G62" s="14" t="s">
        <v>9</v>
      </c>
      <c r="H62" s="14">
        <v>0</v>
      </c>
      <c r="I62" s="14" t="s">
        <v>9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 t="s">
        <v>9</v>
      </c>
      <c r="P62" s="14" t="s">
        <v>9</v>
      </c>
      <c r="Q62" s="14">
        <v>0</v>
      </c>
      <c r="R62" s="14">
        <v>0</v>
      </c>
      <c r="S62" s="14">
        <v>0</v>
      </c>
      <c r="T62" s="14">
        <v>0</v>
      </c>
      <c r="U62" s="14" t="s">
        <v>9</v>
      </c>
      <c r="V62" s="14">
        <v>0</v>
      </c>
      <c r="W62" s="14" t="s">
        <v>9</v>
      </c>
      <c r="X62" s="14" t="s">
        <v>9</v>
      </c>
      <c r="Y62" s="14">
        <v>0</v>
      </c>
      <c r="Z62" s="14" t="s">
        <v>9</v>
      </c>
      <c r="AA62" s="14">
        <v>0</v>
      </c>
      <c r="AB62" s="14">
        <v>0</v>
      </c>
      <c r="AC62" s="14" t="s">
        <v>9</v>
      </c>
      <c r="AD62" s="14" t="s">
        <v>9</v>
      </c>
      <c r="AE62" s="14">
        <v>0</v>
      </c>
      <c r="AF62" s="14">
        <v>0</v>
      </c>
      <c r="AG62" s="14">
        <v>0</v>
      </c>
      <c r="AH62" s="28">
        <f t="shared" si="10"/>
        <v>0</v>
      </c>
      <c r="AI62" s="122"/>
    </row>
    <row r="63" spans="1:35" x14ac:dyDescent="0.25">
      <c r="A63" s="143"/>
      <c r="B63" s="126"/>
      <c r="C63" s="32" t="s">
        <v>51</v>
      </c>
      <c r="D63" s="14">
        <v>1</v>
      </c>
      <c r="E63" s="14">
        <v>0</v>
      </c>
      <c r="F63" s="14">
        <v>0</v>
      </c>
      <c r="G63" s="14" t="s">
        <v>9</v>
      </c>
      <c r="H63" s="14">
        <v>0</v>
      </c>
      <c r="I63" s="14" t="s">
        <v>9</v>
      </c>
      <c r="J63" s="14">
        <v>0</v>
      </c>
      <c r="K63" s="14">
        <v>1</v>
      </c>
      <c r="L63" s="14">
        <v>1</v>
      </c>
      <c r="M63" s="14">
        <v>0</v>
      </c>
      <c r="N63" s="14">
        <v>0</v>
      </c>
      <c r="O63" s="14" t="s">
        <v>9</v>
      </c>
      <c r="P63" s="14" t="s">
        <v>9</v>
      </c>
      <c r="Q63" s="14">
        <v>2</v>
      </c>
      <c r="R63" s="14">
        <v>3</v>
      </c>
      <c r="S63" s="14">
        <v>0</v>
      </c>
      <c r="T63" s="14">
        <v>1</v>
      </c>
      <c r="U63" s="14" t="s">
        <v>9</v>
      </c>
      <c r="V63" s="14">
        <v>0</v>
      </c>
      <c r="W63" s="14" t="s">
        <v>9</v>
      </c>
      <c r="X63" s="14" t="s">
        <v>9</v>
      </c>
      <c r="Y63" s="14">
        <v>0</v>
      </c>
      <c r="Z63" s="14" t="s">
        <v>9</v>
      </c>
      <c r="AA63" s="14">
        <v>0</v>
      </c>
      <c r="AB63" s="14">
        <v>0</v>
      </c>
      <c r="AC63" s="14" t="s">
        <v>9</v>
      </c>
      <c r="AD63" s="14" t="s">
        <v>9</v>
      </c>
      <c r="AE63" s="14">
        <v>1</v>
      </c>
      <c r="AF63" s="14">
        <v>1</v>
      </c>
      <c r="AG63" s="14">
        <v>1</v>
      </c>
      <c r="AH63" s="28">
        <f t="shared" si="10"/>
        <v>12</v>
      </c>
      <c r="AI63" s="122"/>
    </row>
    <row r="64" spans="1:35" x14ac:dyDescent="0.25">
      <c r="A64" s="143"/>
      <c r="B64" s="127" t="s">
        <v>45</v>
      </c>
      <c r="C64" s="30" t="s">
        <v>46</v>
      </c>
      <c r="D64" s="3">
        <v>5</v>
      </c>
      <c r="E64" s="3">
        <v>1</v>
      </c>
      <c r="F64" s="3">
        <v>3</v>
      </c>
      <c r="G64" s="3" t="s">
        <v>9</v>
      </c>
      <c r="H64" s="3">
        <v>4</v>
      </c>
      <c r="I64" s="3" t="s">
        <v>9</v>
      </c>
      <c r="J64" s="3">
        <v>3</v>
      </c>
      <c r="K64" s="3">
        <v>4</v>
      </c>
      <c r="L64" s="3">
        <v>3</v>
      </c>
      <c r="M64" s="3">
        <v>0</v>
      </c>
      <c r="N64" s="3">
        <v>5</v>
      </c>
      <c r="O64" s="3" t="s">
        <v>9</v>
      </c>
      <c r="P64" s="3" t="s">
        <v>9</v>
      </c>
      <c r="Q64" s="3">
        <v>1</v>
      </c>
      <c r="R64" s="3">
        <v>5</v>
      </c>
      <c r="S64" s="3">
        <v>2</v>
      </c>
      <c r="T64" s="3">
        <v>1</v>
      </c>
      <c r="U64" s="3" t="s">
        <v>9</v>
      </c>
      <c r="V64" s="3">
        <v>1</v>
      </c>
      <c r="W64" s="3" t="s">
        <v>9</v>
      </c>
      <c r="X64" s="3" t="s">
        <v>9</v>
      </c>
      <c r="Y64" s="3">
        <v>3</v>
      </c>
      <c r="Z64" s="3" t="s">
        <v>9</v>
      </c>
      <c r="AA64" s="3">
        <v>4</v>
      </c>
      <c r="AB64" s="3">
        <v>5</v>
      </c>
      <c r="AC64" s="3" t="s">
        <v>9</v>
      </c>
      <c r="AD64" s="3" t="s">
        <v>9</v>
      </c>
      <c r="AE64" s="3">
        <v>7</v>
      </c>
      <c r="AF64" s="3">
        <v>1</v>
      </c>
      <c r="AG64" s="3">
        <v>5</v>
      </c>
      <c r="AH64" s="28">
        <f t="shared" si="10"/>
        <v>63</v>
      </c>
      <c r="AI64" s="86"/>
    </row>
    <row r="65" spans="1:35" ht="13.5" thickBot="1" x14ac:dyDescent="0.3">
      <c r="A65" s="144"/>
      <c r="B65" s="128"/>
      <c r="C65" s="31" t="s">
        <v>47</v>
      </c>
      <c r="D65" s="8">
        <v>0</v>
      </c>
      <c r="E65" s="8">
        <v>0</v>
      </c>
      <c r="F65" s="8">
        <v>0</v>
      </c>
      <c r="G65" s="8" t="s">
        <v>9</v>
      </c>
      <c r="H65" s="8">
        <v>0</v>
      </c>
      <c r="I65" s="8" t="s">
        <v>9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 t="s">
        <v>9</v>
      </c>
      <c r="P65" s="8" t="s">
        <v>9</v>
      </c>
      <c r="Q65" s="8">
        <v>0</v>
      </c>
      <c r="R65" s="8">
        <v>0</v>
      </c>
      <c r="S65" s="8">
        <v>0</v>
      </c>
      <c r="T65" s="8">
        <v>0</v>
      </c>
      <c r="U65" s="8" t="s">
        <v>9</v>
      </c>
      <c r="V65" s="8">
        <v>0</v>
      </c>
      <c r="W65" s="8" t="s">
        <v>9</v>
      </c>
      <c r="X65" s="8" t="s">
        <v>9</v>
      </c>
      <c r="Y65" s="8">
        <v>0</v>
      </c>
      <c r="Z65" s="8" t="s">
        <v>9</v>
      </c>
      <c r="AA65" s="8">
        <v>0</v>
      </c>
      <c r="AB65" s="8">
        <v>0</v>
      </c>
      <c r="AC65" s="8" t="s">
        <v>9</v>
      </c>
      <c r="AD65" s="8" t="s">
        <v>9</v>
      </c>
      <c r="AE65" s="8">
        <v>0</v>
      </c>
      <c r="AF65" s="8">
        <v>2</v>
      </c>
      <c r="AG65" s="8">
        <v>0</v>
      </c>
      <c r="AH65" s="26">
        <f t="shared" si="10"/>
        <v>2</v>
      </c>
      <c r="AI65" s="87"/>
    </row>
    <row r="66" spans="1:35" x14ac:dyDescent="0.25">
      <c r="A66" s="89" t="s">
        <v>23</v>
      </c>
      <c r="B66" s="124" t="s">
        <v>18</v>
      </c>
      <c r="C66" s="29" t="s">
        <v>48</v>
      </c>
      <c r="D66" s="7" t="s">
        <v>10</v>
      </c>
      <c r="E66" s="7" t="s">
        <v>10</v>
      </c>
      <c r="F66" s="7" t="s">
        <v>10</v>
      </c>
      <c r="G66" s="7" t="s">
        <v>10</v>
      </c>
      <c r="H66" s="7" t="s">
        <v>10</v>
      </c>
      <c r="I66" s="7" t="s">
        <v>10</v>
      </c>
      <c r="J66" s="7" t="s">
        <v>10</v>
      </c>
      <c r="K66" s="7" t="s">
        <v>10</v>
      </c>
      <c r="L66" s="7" t="s">
        <v>10</v>
      </c>
      <c r="M66" s="7" t="s">
        <v>10</v>
      </c>
      <c r="N66" s="7" t="s">
        <v>10</v>
      </c>
      <c r="O66" s="7" t="s">
        <v>10</v>
      </c>
      <c r="P66" s="7" t="s">
        <v>10</v>
      </c>
      <c r="Q66" s="7" t="s">
        <v>10</v>
      </c>
      <c r="R66" s="7" t="s">
        <v>10</v>
      </c>
      <c r="S66" s="7" t="s">
        <v>10</v>
      </c>
      <c r="T66" s="41" t="s">
        <v>10</v>
      </c>
      <c r="U66" s="7" t="s">
        <v>10</v>
      </c>
      <c r="V66" s="7" t="s">
        <v>10</v>
      </c>
      <c r="W66" s="7" t="s">
        <v>10</v>
      </c>
      <c r="X66" s="7" t="s">
        <v>10</v>
      </c>
      <c r="Y66" s="41" t="s">
        <v>10</v>
      </c>
      <c r="Z66" s="35" t="s">
        <v>10</v>
      </c>
      <c r="AA66" s="35" t="s">
        <v>10</v>
      </c>
      <c r="AB66" s="35" t="s">
        <v>10</v>
      </c>
      <c r="AC66" s="35" t="s">
        <v>10</v>
      </c>
      <c r="AD66" s="35" t="s">
        <v>10</v>
      </c>
      <c r="AE66" s="35" t="s">
        <v>10</v>
      </c>
      <c r="AF66" s="7" t="s">
        <v>10</v>
      </c>
      <c r="AG66" s="7" t="s">
        <v>10</v>
      </c>
      <c r="AH66" s="27">
        <f t="shared" ref="AH66:AH71" si="11">SUM(D66:AG66)</f>
        <v>0</v>
      </c>
      <c r="AI66" s="85">
        <f>SUM(AH66:AH71)</f>
        <v>0</v>
      </c>
    </row>
    <row r="67" spans="1:35" x14ac:dyDescent="0.25">
      <c r="A67" s="121"/>
      <c r="B67" s="125"/>
      <c r="C67" s="32" t="s">
        <v>50</v>
      </c>
      <c r="D67" s="14" t="s">
        <v>10</v>
      </c>
      <c r="E67" s="14" t="s">
        <v>10</v>
      </c>
      <c r="F67" s="14" t="s">
        <v>10</v>
      </c>
      <c r="G67" s="14" t="s">
        <v>10</v>
      </c>
      <c r="H67" s="14" t="s">
        <v>10</v>
      </c>
      <c r="I67" s="14" t="s">
        <v>10</v>
      </c>
      <c r="J67" s="14" t="s">
        <v>10</v>
      </c>
      <c r="K67" s="14" t="s">
        <v>10</v>
      </c>
      <c r="L67" s="14" t="s">
        <v>10</v>
      </c>
      <c r="M67" s="14" t="s">
        <v>10</v>
      </c>
      <c r="N67" s="14" t="s">
        <v>10</v>
      </c>
      <c r="O67" s="14" t="s">
        <v>10</v>
      </c>
      <c r="P67" s="14" t="s">
        <v>10</v>
      </c>
      <c r="Q67" s="14" t="s">
        <v>10</v>
      </c>
      <c r="R67" s="14" t="s">
        <v>10</v>
      </c>
      <c r="S67" s="14" t="s">
        <v>10</v>
      </c>
      <c r="T67" s="18" t="s">
        <v>10</v>
      </c>
      <c r="U67" s="14" t="s">
        <v>10</v>
      </c>
      <c r="V67" s="14" t="s">
        <v>10</v>
      </c>
      <c r="W67" s="14" t="s">
        <v>10</v>
      </c>
      <c r="X67" s="14" t="s">
        <v>10</v>
      </c>
      <c r="Y67" s="18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14" t="s">
        <v>10</v>
      </c>
      <c r="AG67" s="14" t="s">
        <v>10</v>
      </c>
      <c r="AH67" s="28">
        <f t="shared" si="11"/>
        <v>0</v>
      </c>
      <c r="AI67" s="122"/>
    </row>
    <row r="68" spans="1:35" x14ac:dyDescent="0.25">
      <c r="A68" s="121"/>
      <c r="B68" s="125"/>
      <c r="C68" s="32" t="s">
        <v>49</v>
      </c>
      <c r="D68" s="14" t="s">
        <v>10</v>
      </c>
      <c r="E68" s="14" t="s">
        <v>10</v>
      </c>
      <c r="F68" s="14" t="s">
        <v>10</v>
      </c>
      <c r="G68" s="14" t="s">
        <v>10</v>
      </c>
      <c r="H68" s="14" t="s">
        <v>10</v>
      </c>
      <c r="I68" s="14" t="s">
        <v>10</v>
      </c>
      <c r="J68" s="14" t="s">
        <v>10</v>
      </c>
      <c r="K68" s="14" t="s">
        <v>10</v>
      </c>
      <c r="L68" s="14" t="s">
        <v>10</v>
      </c>
      <c r="M68" s="14" t="s">
        <v>10</v>
      </c>
      <c r="N68" s="14" t="s">
        <v>10</v>
      </c>
      <c r="O68" s="14" t="s">
        <v>10</v>
      </c>
      <c r="P68" s="14" t="s">
        <v>10</v>
      </c>
      <c r="Q68" s="14" t="s">
        <v>10</v>
      </c>
      <c r="R68" s="14" t="s">
        <v>10</v>
      </c>
      <c r="S68" s="14" t="s">
        <v>10</v>
      </c>
      <c r="T68" s="18" t="s">
        <v>10</v>
      </c>
      <c r="U68" s="14" t="s">
        <v>10</v>
      </c>
      <c r="V68" s="14" t="s">
        <v>10</v>
      </c>
      <c r="W68" s="14" t="s">
        <v>10</v>
      </c>
      <c r="X68" s="14" t="s">
        <v>10</v>
      </c>
      <c r="Y68" s="18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14" t="s">
        <v>10</v>
      </c>
      <c r="AG68" s="14" t="s">
        <v>10</v>
      </c>
      <c r="AH68" s="28">
        <f t="shared" si="11"/>
        <v>0</v>
      </c>
      <c r="AI68" s="122"/>
    </row>
    <row r="69" spans="1:35" x14ac:dyDescent="0.25">
      <c r="A69" s="121"/>
      <c r="B69" s="126"/>
      <c r="C69" s="32" t="s">
        <v>51</v>
      </c>
      <c r="D69" s="14" t="s">
        <v>10</v>
      </c>
      <c r="E69" s="14" t="s">
        <v>10</v>
      </c>
      <c r="F69" s="14" t="s">
        <v>10</v>
      </c>
      <c r="G69" s="14" t="s">
        <v>10</v>
      </c>
      <c r="H69" s="14" t="s">
        <v>10</v>
      </c>
      <c r="I69" s="14" t="s">
        <v>10</v>
      </c>
      <c r="J69" s="14" t="s">
        <v>10</v>
      </c>
      <c r="K69" s="14" t="s">
        <v>10</v>
      </c>
      <c r="L69" s="14" t="s">
        <v>10</v>
      </c>
      <c r="M69" s="14" t="s">
        <v>10</v>
      </c>
      <c r="N69" s="14" t="s">
        <v>10</v>
      </c>
      <c r="O69" s="14" t="s">
        <v>10</v>
      </c>
      <c r="P69" s="14" t="s">
        <v>10</v>
      </c>
      <c r="Q69" s="14" t="s">
        <v>10</v>
      </c>
      <c r="R69" s="14" t="s">
        <v>10</v>
      </c>
      <c r="S69" s="14" t="s">
        <v>10</v>
      </c>
      <c r="T69" s="18" t="s">
        <v>10</v>
      </c>
      <c r="U69" s="14" t="s">
        <v>10</v>
      </c>
      <c r="V69" s="14" t="s">
        <v>10</v>
      </c>
      <c r="W69" s="14" t="s">
        <v>10</v>
      </c>
      <c r="X69" s="14" t="s">
        <v>10</v>
      </c>
      <c r="Y69" s="18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14" t="s">
        <v>10</v>
      </c>
      <c r="AG69" s="14" t="s">
        <v>10</v>
      </c>
      <c r="AH69" s="28">
        <f t="shared" si="11"/>
        <v>0</v>
      </c>
      <c r="AI69" s="122"/>
    </row>
    <row r="70" spans="1:35" x14ac:dyDescent="0.25">
      <c r="A70" s="90"/>
      <c r="B70" s="127" t="s">
        <v>45</v>
      </c>
      <c r="C70" s="30" t="s">
        <v>46</v>
      </c>
      <c r="D70" s="3" t="s">
        <v>10</v>
      </c>
      <c r="E70" s="3" t="s">
        <v>10</v>
      </c>
      <c r="F70" s="3" t="s">
        <v>10</v>
      </c>
      <c r="G70" s="3" t="s">
        <v>10</v>
      </c>
      <c r="H70" s="3" t="s">
        <v>10</v>
      </c>
      <c r="I70" s="3" t="s">
        <v>10</v>
      </c>
      <c r="J70" s="3" t="s">
        <v>10</v>
      </c>
      <c r="K70" s="3" t="s">
        <v>10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18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18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28">
        <f t="shared" si="11"/>
        <v>0</v>
      </c>
      <c r="AI70" s="86"/>
    </row>
    <row r="71" spans="1:35" ht="13.5" thickBot="1" x14ac:dyDescent="0.3">
      <c r="A71" s="91"/>
      <c r="B71" s="128"/>
      <c r="C71" s="31" t="s">
        <v>47</v>
      </c>
      <c r="D71" s="8" t="s">
        <v>10</v>
      </c>
      <c r="E71" s="8" t="s">
        <v>10</v>
      </c>
      <c r="F71" s="8" t="s">
        <v>10</v>
      </c>
      <c r="G71" s="8" t="s">
        <v>10</v>
      </c>
      <c r="H71" s="8" t="s">
        <v>10</v>
      </c>
      <c r="I71" s="8" t="s">
        <v>10</v>
      </c>
      <c r="J71" s="8" t="s">
        <v>10</v>
      </c>
      <c r="K71" s="8" t="s">
        <v>10</v>
      </c>
      <c r="L71" s="8" t="s">
        <v>10</v>
      </c>
      <c r="M71" s="8" t="s">
        <v>10</v>
      </c>
      <c r="N71" s="8" t="s">
        <v>10</v>
      </c>
      <c r="O71" s="8" t="s">
        <v>10</v>
      </c>
      <c r="P71" s="8" t="s">
        <v>10</v>
      </c>
      <c r="Q71" s="8" t="s">
        <v>10</v>
      </c>
      <c r="R71" s="8" t="s">
        <v>10</v>
      </c>
      <c r="S71" s="8" t="s">
        <v>10</v>
      </c>
      <c r="T71" s="21" t="s">
        <v>10</v>
      </c>
      <c r="U71" s="8" t="s">
        <v>10</v>
      </c>
      <c r="V71" s="8" t="s">
        <v>10</v>
      </c>
      <c r="W71" s="8" t="s">
        <v>10</v>
      </c>
      <c r="X71" s="8" t="s">
        <v>10</v>
      </c>
      <c r="Y71" s="21" t="s">
        <v>10</v>
      </c>
      <c r="Z71" s="36" t="s">
        <v>10</v>
      </c>
      <c r="AA71" s="36" t="s">
        <v>10</v>
      </c>
      <c r="AB71" s="36" t="s">
        <v>10</v>
      </c>
      <c r="AC71" s="36" t="s">
        <v>10</v>
      </c>
      <c r="AD71" s="36" t="s">
        <v>10</v>
      </c>
      <c r="AE71" s="36" t="s">
        <v>10</v>
      </c>
      <c r="AF71" s="8" t="s">
        <v>10</v>
      </c>
      <c r="AG71" s="8" t="s">
        <v>10</v>
      </c>
      <c r="AH71" s="26">
        <f t="shared" si="11"/>
        <v>0</v>
      </c>
      <c r="AI71" s="87"/>
    </row>
    <row r="72" spans="1:35" ht="13.5" thickBot="1" x14ac:dyDescent="0.3">
      <c r="A72" s="110" t="s">
        <v>1</v>
      </c>
      <c r="B72" s="141"/>
      <c r="C72" s="111"/>
      <c r="D72" s="9">
        <f>SUM(D18:D71)</f>
        <v>299</v>
      </c>
      <c r="E72" s="9">
        <f>SUM(E18:E71)</f>
        <v>236</v>
      </c>
      <c r="F72" s="9">
        <f>SUM(F18:F71)</f>
        <v>282</v>
      </c>
      <c r="G72" s="9">
        <f>SUM(G18:G71)</f>
        <v>255</v>
      </c>
      <c r="H72" s="9">
        <f>SUM(H18:H71)</f>
        <v>87</v>
      </c>
      <c r="I72" s="9" t="s">
        <v>29</v>
      </c>
      <c r="J72" s="9">
        <f t="shared" ref="J72:O72" si="12">SUM(J18:J71)</f>
        <v>158</v>
      </c>
      <c r="K72" s="9">
        <f t="shared" si="12"/>
        <v>143</v>
      </c>
      <c r="L72" s="9">
        <f t="shared" si="12"/>
        <v>196</v>
      </c>
      <c r="M72" s="9">
        <f t="shared" si="12"/>
        <v>158</v>
      </c>
      <c r="N72" s="9">
        <f t="shared" si="12"/>
        <v>144</v>
      </c>
      <c r="O72" s="9">
        <f t="shared" si="12"/>
        <v>55</v>
      </c>
      <c r="P72" s="9" t="s">
        <v>29</v>
      </c>
      <c r="Q72" s="9">
        <f t="shared" ref="Q72:V72" si="13">SUM(Q18:Q71)</f>
        <v>139</v>
      </c>
      <c r="R72" s="9">
        <f t="shared" si="13"/>
        <v>178</v>
      </c>
      <c r="S72" s="9">
        <f t="shared" si="13"/>
        <v>167</v>
      </c>
      <c r="T72" s="9">
        <f t="shared" si="13"/>
        <v>129</v>
      </c>
      <c r="U72" s="9">
        <f t="shared" si="13"/>
        <v>38</v>
      </c>
      <c r="V72" s="9">
        <f t="shared" si="13"/>
        <v>39</v>
      </c>
      <c r="W72" s="9" t="s">
        <v>29</v>
      </c>
      <c r="X72" s="9">
        <f t="shared" ref="X72:AC72" si="14">SUM(X18:X71)</f>
        <v>25</v>
      </c>
      <c r="Y72" s="9">
        <f t="shared" si="14"/>
        <v>263</v>
      </c>
      <c r="Z72" s="9">
        <f t="shared" si="14"/>
        <v>44</v>
      </c>
      <c r="AA72" s="9">
        <f t="shared" si="14"/>
        <v>275</v>
      </c>
      <c r="AB72" s="9">
        <f t="shared" si="14"/>
        <v>398</v>
      </c>
      <c r="AC72" s="9">
        <f t="shared" si="14"/>
        <v>95</v>
      </c>
      <c r="AD72" s="9" t="s">
        <v>29</v>
      </c>
      <c r="AE72" s="9">
        <f>SUM(AE18:AE71)</f>
        <v>350</v>
      </c>
      <c r="AF72" s="9">
        <f>SUM(AF18:AF71)</f>
        <v>304</v>
      </c>
      <c r="AG72" s="9">
        <f>SUM(AG18:AG71)</f>
        <v>418</v>
      </c>
      <c r="AH72" s="9">
        <f>SUM(AH18:AH71)</f>
        <v>4875</v>
      </c>
      <c r="AI72" s="33">
        <f>SUM(AI18:AI71)</f>
        <v>4875</v>
      </c>
    </row>
    <row r="74" spans="1:35" s="5" customFormat="1" ht="12" x14ac:dyDescent="0.25">
      <c r="D74" s="1" t="s">
        <v>10</v>
      </c>
      <c r="E74" s="109" t="s">
        <v>11</v>
      </c>
      <c r="F74" s="109"/>
      <c r="G74" s="6"/>
      <c r="H74" s="1" t="s">
        <v>9</v>
      </c>
      <c r="I74" s="109" t="s">
        <v>12</v>
      </c>
      <c r="J74" s="109"/>
      <c r="K74" s="6"/>
      <c r="L74" s="1" t="s">
        <v>13</v>
      </c>
      <c r="M74" s="109" t="s">
        <v>14</v>
      </c>
      <c r="N74" s="109"/>
      <c r="O74" s="109"/>
      <c r="P74" s="109"/>
      <c r="Q74" s="109"/>
      <c r="R74" s="6"/>
      <c r="S74" s="1" t="s">
        <v>15</v>
      </c>
      <c r="T74" s="109" t="s">
        <v>16</v>
      </c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</row>
    <row r="75" spans="1:35" x14ac:dyDescent="0.25">
      <c r="H75" s="1" t="s">
        <v>55</v>
      </c>
      <c r="I75" s="109" t="s">
        <v>56</v>
      </c>
      <c r="J75" s="109"/>
    </row>
  </sheetData>
  <mergeCells count="70">
    <mergeCell ref="A1:AI1"/>
    <mergeCell ref="A2:C3"/>
    <mergeCell ref="AH2:AI3"/>
    <mergeCell ref="A5:C5"/>
    <mergeCell ref="AH5:AI5"/>
    <mergeCell ref="A4:C4"/>
    <mergeCell ref="AH4:AI4"/>
    <mergeCell ref="A7:C7"/>
    <mergeCell ref="AH7:AI7"/>
    <mergeCell ref="A12:C12"/>
    <mergeCell ref="AH12:AI12"/>
    <mergeCell ref="A6:C6"/>
    <mergeCell ref="AH6:AI6"/>
    <mergeCell ref="A8:C8"/>
    <mergeCell ref="AH8:AI8"/>
    <mergeCell ref="A10:C10"/>
    <mergeCell ref="AH10:AI10"/>
    <mergeCell ref="A11:C11"/>
    <mergeCell ref="AH11:AI11"/>
    <mergeCell ref="A9:C9"/>
    <mergeCell ref="AH9:AI9"/>
    <mergeCell ref="A13:C13"/>
    <mergeCell ref="AH13:AI13"/>
    <mergeCell ref="A15:AI15"/>
    <mergeCell ref="A36:A41"/>
    <mergeCell ref="B36:B39"/>
    <mergeCell ref="AI36:AI41"/>
    <mergeCell ref="B40:B41"/>
    <mergeCell ref="A16:A17"/>
    <mergeCell ref="B16:C17"/>
    <mergeCell ref="AH16:AH17"/>
    <mergeCell ref="AI16:AI17"/>
    <mergeCell ref="A18:A23"/>
    <mergeCell ref="B18:B21"/>
    <mergeCell ref="AI18:AI23"/>
    <mergeCell ref="B22:B23"/>
    <mergeCell ref="A30:A35"/>
    <mergeCell ref="B30:B33"/>
    <mergeCell ref="AI30:AI35"/>
    <mergeCell ref="B34:B35"/>
    <mergeCell ref="A24:A29"/>
    <mergeCell ref="B24:B27"/>
    <mergeCell ref="AI24:AI29"/>
    <mergeCell ref="B28:B29"/>
    <mergeCell ref="A42:A47"/>
    <mergeCell ref="B42:B45"/>
    <mergeCell ref="AI42:AI47"/>
    <mergeCell ref="B46:B47"/>
    <mergeCell ref="A66:A71"/>
    <mergeCell ref="B66:B69"/>
    <mergeCell ref="AI66:AI71"/>
    <mergeCell ref="B70:B71"/>
    <mergeCell ref="A54:A59"/>
    <mergeCell ref="B54:B57"/>
    <mergeCell ref="AI54:AI59"/>
    <mergeCell ref="B58:B59"/>
    <mergeCell ref="A60:A65"/>
    <mergeCell ref="B60:B63"/>
    <mergeCell ref="AI60:AI65"/>
    <mergeCell ref="B64:B65"/>
    <mergeCell ref="I75:J75"/>
    <mergeCell ref="A48:A53"/>
    <mergeCell ref="B48:B51"/>
    <mergeCell ref="AI48:AI53"/>
    <mergeCell ref="B52:B53"/>
    <mergeCell ref="A72:C72"/>
    <mergeCell ref="E74:F74"/>
    <mergeCell ref="I74:J74"/>
    <mergeCell ref="M74:Q74"/>
    <mergeCell ref="T74:AI7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EFF0-D8F1-48FD-984B-FA736FE01522}">
  <dimension ref="A1:AP75"/>
  <sheetViews>
    <sheetView zoomScale="130" zoomScaleNormal="130" workbookViewId="0">
      <selection activeCell="AI61" sqref="AI61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7109375" style="2" customWidth="1"/>
    <col min="5" max="6" width="5" style="2" bestFit="1" customWidth="1"/>
    <col min="7" max="7" width="4" style="2" bestFit="1" customWidth="1"/>
    <col min="8" max="8" width="4.5703125" style="2" customWidth="1"/>
    <col min="9" max="9" width="4.7109375" style="2" customWidth="1"/>
    <col min="10" max="12" width="4" style="2" bestFit="1" customWidth="1"/>
    <col min="13" max="13" width="3.7109375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8" width="4" style="2" customWidth="1"/>
    <col min="19" max="20" width="4" style="2" bestFit="1" customWidth="1"/>
    <col min="21" max="21" width="4" style="2" customWidth="1"/>
    <col min="22" max="24" width="4" style="2" bestFit="1" customWidth="1"/>
    <col min="25" max="25" width="4.28515625" style="2" customWidth="1"/>
    <col min="26" max="26" width="4" style="2" bestFit="1" customWidth="1"/>
    <col min="27" max="27" width="4.28515625" style="2" customWidth="1"/>
    <col min="28" max="29" width="4" style="2" bestFit="1" customWidth="1"/>
    <col min="30" max="32" width="5.140625" style="2" bestFit="1" customWidth="1"/>
    <col min="33" max="33" width="4.28515625" style="2" customWidth="1"/>
    <col min="34" max="34" width="4.85546875" style="2" customWidth="1"/>
    <col min="35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42" ht="22.5" customHeight="1" thickBot="1" x14ac:dyDescent="0.3">
      <c r="A1" s="76" t="s">
        <v>59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42" ht="59.25" customHeight="1" x14ac:dyDescent="0.25">
      <c r="A2" s="77" t="s">
        <v>0</v>
      </c>
      <c r="B2" s="112"/>
      <c r="C2" s="78"/>
      <c r="D2" s="11">
        <v>45778</v>
      </c>
      <c r="E2" s="11">
        <v>45779</v>
      </c>
      <c r="F2" s="11">
        <v>45780</v>
      </c>
      <c r="G2" s="11">
        <v>45781</v>
      </c>
      <c r="H2" s="11">
        <v>45782</v>
      </c>
      <c r="I2" s="11">
        <v>45783</v>
      </c>
      <c r="J2" s="11">
        <v>45784</v>
      </c>
      <c r="K2" s="11">
        <v>45785</v>
      </c>
      <c r="L2" s="11">
        <v>45786</v>
      </c>
      <c r="M2" s="11">
        <v>45787</v>
      </c>
      <c r="N2" s="11">
        <v>45788</v>
      </c>
      <c r="O2" s="11">
        <v>45789</v>
      </c>
      <c r="P2" s="11">
        <v>45790</v>
      </c>
      <c r="Q2" s="11">
        <v>45791</v>
      </c>
      <c r="R2" s="11">
        <v>45792</v>
      </c>
      <c r="S2" s="11">
        <v>45793</v>
      </c>
      <c r="T2" s="11">
        <v>45794</v>
      </c>
      <c r="U2" s="11">
        <v>45795</v>
      </c>
      <c r="V2" s="11">
        <v>45796</v>
      </c>
      <c r="W2" s="11">
        <v>45797</v>
      </c>
      <c r="X2" s="11">
        <v>45798</v>
      </c>
      <c r="Y2" s="11">
        <v>45799</v>
      </c>
      <c r="Z2" s="11">
        <v>45800</v>
      </c>
      <c r="AA2" s="11">
        <v>45801</v>
      </c>
      <c r="AB2" s="11">
        <v>45802</v>
      </c>
      <c r="AC2" s="11">
        <v>45803</v>
      </c>
      <c r="AD2" s="11">
        <v>45804</v>
      </c>
      <c r="AE2" s="11">
        <v>45805</v>
      </c>
      <c r="AF2" s="11">
        <v>45806</v>
      </c>
      <c r="AG2" s="11">
        <v>45807</v>
      </c>
      <c r="AH2" s="11">
        <v>45808</v>
      </c>
      <c r="AI2" s="81" t="s">
        <v>1</v>
      </c>
      <c r="AJ2" s="82"/>
    </row>
    <row r="3" spans="1:42" ht="71.25" customHeight="1" x14ac:dyDescent="0.25">
      <c r="A3" s="79"/>
      <c r="B3" s="113"/>
      <c r="C3" s="80"/>
      <c r="D3" s="12" t="s">
        <v>6</v>
      </c>
      <c r="E3" s="12" t="s">
        <v>7</v>
      </c>
      <c r="F3" s="12" t="s">
        <v>8</v>
      </c>
      <c r="G3" s="12" t="s">
        <v>2</v>
      </c>
      <c r="H3" s="12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2</v>
      </c>
      <c r="O3" s="12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2" t="s">
        <v>2</v>
      </c>
      <c r="V3" s="12" t="s">
        <v>3</v>
      </c>
      <c r="W3" s="12" t="s">
        <v>4</v>
      </c>
      <c r="X3" s="12" t="s">
        <v>5</v>
      </c>
      <c r="Y3" s="12" t="s">
        <v>6</v>
      </c>
      <c r="Z3" s="12" t="s">
        <v>7</v>
      </c>
      <c r="AA3" s="12" t="s">
        <v>8</v>
      </c>
      <c r="AB3" s="12" t="s">
        <v>2</v>
      </c>
      <c r="AC3" s="12" t="s">
        <v>3</v>
      </c>
      <c r="AD3" s="12" t="s">
        <v>4</v>
      </c>
      <c r="AE3" s="12" t="s">
        <v>5</v>
      </c>
      <c r="AF3" s="12" t="s">
        <v>6</v>
      </c>
      <c r="AG3" s="12" t="s">
        <v>7</v>
      </c>
      <c r="AH3" s="12" t="s">
        <v>8</v>
      </c>
      <c r="AI3" s="83"/>
      <c r="AJ3" s="84"/>
      <c r="AP3" s="2" t="s">
        <v>62</v>
      </c>
    </row>
    <row r="4" spans="1:42" x14ac:dyDescent="0.25">
      <c r="A4" s="72" t="s">
        <v>32</v>
      </c>
      <c r="B4" s="114"/>
      <c r="C4" s="73"/>
      <c r="D4" s="3" t="s">
        <v>9</v>
      </c>
      <c r="E4" s="3">
        <v>149</v>
      </c>
      <c r="F4" s="3" t="s">
        <v>9</v>
      </c>
      <c r="G4" s="3" t="s">
        <v>9</v>
      </c>
      <c r="H4" s="3">
        <v>159</v>
      </c>
      <c r="I4" s="3">
        <v>149</v>
      </c>
      <c r="J4" s="3">
        <v>133</v>
      </c>
      <c r="K4" s="3">
        <v>106</v>
      </c>
      <c r="L4" s="3">
        <v>150</v>
      </c>
      <c r="M4" s="3">
        <v>106</v>
      </c>
      <c r="N4" s="3" t="s">
        <v>9</v>
      </c>
      <c r="O4" s="3">
        <v>72</v>
      </c>
      <c r="P4" s="3">
        <v>86</v>
      </c>
      <c r="Q4" s="3">
        <v>110</v>
      </c>
      <c r="R4" s="3">
        <v>143</v>
      </c>
      <c r="S4" s="3">
        <v>149</v>
      </c>
      <c r="T4" s="3" t="s">
        <v>9</v>
      </c>
      <c r="U4" s="3" t="s">
        <v>9</v>
      </c>
      <c r="V4" s="3" t="s">
        <v>9</v>
      </c>
      <c r="W4" s="3">
        <v>139</v>
      </c>
      <c r="X4" s="3">
        <v>109</v>
      </c>
      <c r="Y4" s="3">
        <v>49</v>
      </c>
      <c r="Z4" s="3">
        <v>5</v>
      </c>
      <c r="AA4" s="3">
        <v>24</v>
      </c>
      <c r="AB4" s="3" t="s">
        <v>9</v>
      </c>
      <c r="AC4" s="3">
        <v>159</v>
      </c>
      <c r="AD4" s="3">
        <v>162</v>
      </c>
      <c r="AE4" s="3">
        <v>209</v>
      </c>
      <c r="AF4" s="3">
        <v>201</v>
      </c>
      <c r="AG4" s="3">
        <v>156</v>
      </c>
      <c r="AH4" s="3" t="s">
        <v>9</v>
      </c>
      <c r="AI4" s="74">
        <f t="shared" ref="AI4:AI11" si="0">SUM(D4:AH4)</f>
        <v>2725</v>
      </c>
      <c r="AJ4" s="75"/>
    </row>
    <row r="5" spans="1:42" x14ac:dyDescent="0.25">
      <c r="A5" s="72" t="s">
        <v>38</v>
      </c>
      <c r="B5" s="114"/>
      <c r="C5" s="73"/>
      <c r="D5" s="3">
        <v>32</v>
      </c>
      <c r="E5" s="3">
        <v>107</v>
      </c>
      <c r="F5" s="3">
        <v>124</v>
      </c>
      <c r="G5" s="3" t="s">
        <v>9</v>
      </c>
      <c r="H5" s="3">
        <v>168</v>
      </c>
      <c r="I5" s="3">
        <v>115</v>
      </c>
      <c r="J5" s="3">
        <v>51</v>
      </c>
      <c r="K5" s="13">
        <v>94</v>
      </c>
      <c r="L5" s="3">
        <v>58</v>
      </c>
      <c r="M5" s="3" t="s">
        <v>9</v>
      </c>
      <c r="N5" s="3" t="s">
        <v>9</v>
      </c>
      <c r="O5" s="17">
        <v>72</v>
      </c>
      <c r="P5" s="17">
        <v>41</v>
      </c>
      <c r="Q5" s="18">
        <v>57</v>
      </c>
      <c r="R5" s="18">
        <v>95</v>
      </c>
      <c r="S5" s="3">
        <v>72</v>
      </c>
      <c r="T5" s="3">
        <v>81</v>
      </c>
      <c r="U5" s="3" t="s">
        <v>9</v>
      </c>
      <c r="V5" s="17">
        <v>132</v>
      </c>
      <c r="W5" s="3">
        <v>163</v>
      </c>
      <c r="X5" s="3">
        <v>106</v>
      </c>
      <c r="Y5" s="3">
        <v>28</v>
      </c>
      <c r="Z5" s="3">
        <v>7</v>
      </c>
      <c r="AA5" s="3" t="s">
        <v>9</v>
      </c>
      <c r="AB5" s="3" t="s">
        <v>9</v>
      </c>
      <c r="AC5" s="3">
        <v>169</v>
      </c>
      <c r="AD5" s="3">
        <v>164</v>
      </c>
      <c r="AE5" s="3">
        <v>199</v>
      </c>
      <c r="AF5" s="17">
        <v>177</v>
      </c>
      <c r="AG5" s="17">
        <v>130</v>
      </c>
      <c r="AH5" s="3">
        <v>69</v>
      </c>
      <c r="AI5" s="74">
        <f>SUM(D5:AH5)</f>
        <v>2511</v>
      </c>
      <c r="AJ5" s="75"/>
    </row>
    <row r="6" spans="1:42" x14ac:dyDescent="0.25">
      <c r="A6" s="72" t="s">
        <v>34</v>
      </c>
      <c r="B6" s="114"/>
      <c r="C6" s="73"/>
      <c r="D6" s="3" t="s">
        <v>9</v>
      </c>
      <c r="E6" s="13">
        <v>83</v>
      </c>
      <c r="F6" s="13" t="s">
        <v>9</v>
      </c>
      <c r="G6" s="3" t="s">
        <v>9</v>
      </c>
      <c r="H6" s="13">
        <v>133</v>
      </c>
      <c r="I6" s="3">
        <v>163</v>
      </c>
      <c r="J6" s="3">
        <v>71</v>
      </c>
      <c r="K6" s="3">
        <v>114</v>
      </c>
      <c r="L6" s="3">
        <v>78</v>
      </c>
      <c r="M6" s="3">
        <v>77</v>
      </c>
      <c r="N6" s="3" t="s">
        <v>9</v>
      </c>
      <c r="O6" s="18">
        <v>40</v>
      </c>
      <c r="P6" s="18" t="s">
        <v>37</v>
      </c>
      <c r="Q6" s="18" t="s">
        <v>9</v>
      </c>
      <c r="R6" s="18" t="s">
        <v>9</v>
      </c>
      <c r="S6" s="13">
        <v>16</v>
      </c>
      <c r="T6" s="18" t="s">
        <v>9</v>
      </c>
      <c r="U6" s="3" t="s">
        <v>9</v>
      </c>
      <c r="V6" s="17">
        <v>129</v>
      </c>
      <c r="W6" s="13">
        <v>109</v>
      </c>
      <c r="X6" s="3">
        <v>94</v>
      </c>
      <c r="Y6" s="3">
        <v>82</v>
      </c>
      <c r="Z6" s="13">
        <v>27</v>
      </c>
      <c r="AA6" s="3">
        <v>48</v>
      </c>
      <c r="AB6" s="3" t="s">
        <v>9</v>
      </c>
      <c r="AC6" s="13">
        <v>145</v>
      </c>
      <c r="AD6" s="13">
        <v>140</v>
      </c>
      <c r="AE6" s="13">
        <v>306</v>
      </c>
      <c r="AF6" s="17">
        <v>265</v>
      </c>
      <c r="AG6" s="18">
        <v>252</v>
      </c>
      <c r="AH6" s="3" t="s">
        <v>9</v>
      </c>
      <c r="AI6" s="74">
        <f>SUM(D6:AH6)</f>
        <v>2372</v>
      </c>
      <c r="AJ6" s="75"/>
    </row>
    <row r="7" spans="1:42" x14ac:dyDescent="0.25">
      <c r="A7" s="72" t="s">
        <v>39</v>
      </c>
      <c r="B7" s="114"/>
      <c r="C7" s="73"/>
      <c r="D7" s="3" t="s">
        <v>9</v>
      </c>
      <c r="E7" s="3">
        <v>70</v>
      </c>
      <c r="F7" s="3" t="s">
        <v>9</v>
      </c>
      <c r="G7" s="3" t="s">
        <v>9</v>
      </c>
      <c r="H7" s="3">
        <v>106</v>
      </c>
      <c r="I7" s="13">
        <v>141</v>
      </c>
      <c r="J7" s="3">
        <v>81</v>
      </c>
      <c r="K7" s="3">
        <v>107</v>
      </c>
      <c r="L7" s="3">
        <v>97</v>
      </c>
      <c r="M7" s="3">
        <v>139</v>
      </c>
      <c r="N7" s="3" t="s">
        <v>9</v>
      </c>
      <c r="O7" s="17">
        <v>63</v>
      </c>
      <c r="P7" s="17">
        <v>80</v>
      </c>
      <c r="Q7" s="13">
        <v>73</v>
      </c>
      <c r="R7" s="13">
        <v>60</v>
      </c>
      <c r="S7" s="3" t="s">
        <v>9</v>
      </c>
      <c r="T7" s="3" t="s">
        <v>9</v>
      </c>
      <c r="U7" s="3" t="s">
        <v>9</v>
      </c>
      <c r="V7" s="17">
        <v>92</v>
      </c>
      <c r="W7" s="3">
        <v>161</v>
      </c>
      <c r="X7" s="3">
        <v>78</v>
      </c>
      <c r="Y7" s="3">
        <v>7</v>
      </c>
      <c r="Z7" s="3">
        <v>4</v>
      </c>
      <c r="AA7" s="3" t="s">
        <v>9</v>
      </c>
      <c r="AB7" s="3" t="s">
        <v>9</v>
      </c>
      <c r="AC7" s="3">
        <v>140</v>
      </c>
      <c r="AD7" s="3">
        <v>157</v>
      </c>
      <c r="AE7" s="3">
        <v>123</v>
      </c>
      <c r="AF7" s="17">
        <v>253</v>
      </c>
      <c r="AG7" s="17">
        <v>195</v>
      </c>
      <c r="AH7" s="3" t="s">
        <v>9</v>
      </c>
      <c r="AI7" s="74">
        <f>SUM(D7:AH7)</f>
        <v>2227</v>
      </c>
      <c r="AJ7" s="75"/>
    </row>
    <row r="8" spans="1:42" x14ac:dyDescent="0.25">
      <c r="A8" s="72" t="s">
        <v>35</v>
      </c>
      <c r="B8" s="114"/>
      <c r="C8" s="73"/>
      <c r="D8" s="3" t="s">
        <v>9</v>
      </c>
      <c r="E8" s="3" t="s">
        <v>9</v>
      </c>
      <c r="F8" s="3" t="s">
        <v>9</v>
      </c>
      <c r="G8" s="3" t="s">
        <v>9</v>
      </c>
      <c r="H8" s="3">
        <v>166</v>
      </c>
      <c r="I8" s="3">
        <v>85</v>
      </c>
      <c r="J8" s="3">
        <v>61</v>
      </c>
      <c r="K8" s="3">
        <v>76</v>
      </c>
      <c r="L8" s="3">
        <v>76</v>
      </c>
      <c r="M8" s="3" t="s">
        <v>9</v>
      </c>
      <c r="N8" s="3" t="s">
        <v>9</v>
      </c>
      <c r="O8" s="17">
        <v>73</v>
      </c>
      <c r="P8" s="17">
        <v>51</v>
      </c>
      <c r="Q8" s="3">
        <v>54</v>
      </c>
      <c r="R8" s="3">
        <v>44</v>
      </c>
      <c r="S8" s="3">
        <v>38</v>
      </c>
      <c r="T8" s="3" t="s">
        <v>9</v>
      </c>
      <c r="U8" s="3" t="s">
        <v>9</v>
      </c>
      <c r="V8" s="17">
        <v>107</v>
      </c>
      <c r="W8" s="3">
        <v>145</v>
      </c>
      <c r="X8" s="3">
        <v>55</v>
      </c>
      <c r="Y8" s="3">
        <v>27</v>
      </c>
      <c r="Z8" s="3">
        <v>18</v>
      </c>
      <c r="AA8" s="3" t="s">
        <v>9</v>
      </c>
      <c r="AB8" s="3" t="s">
        <v>9</v>
      </c>
      <c r="AC8" s="3">
        <v>126</v>
      </c>
      <c r="AD8" s="3">
        <v>140</v>
      </c>
      <c r="AE8" s="3">
        <v>172</v>
      </c>
      <c r="AF8" s="17">
        <v>194</v>
      </c>
      <c r="AG8" s="17">
        <v>115</v>
      </c>
      <c r="AH8" s="3" t="s">
        <v>9</v>
      </c>
      <c r="AI8" s="74">
        <f>SUM(D8:AH8)</f>
        <v>1823</v>
      </c>
      <c r="AJ8" s="75"/>
    </row>
    <row r="9" spans="1:42" x14ac:dyDescent="0.25">
      <c r="A9" s="72" t="s">
        <v>23</v>
      </c>
      <c r="B9" s="114"/>
      <c r="C9" s="73"/>
      <c r="D9" s="3" t="s">
        <v>9</v>
      </c>
      <c r="E9" s="3">
        <v>25</v>
      </c>
      <c r="F9" s="3" t="s">
        <v>9</v>
      </c>
      <c r="G9" s="3" t="s">
        <v>9</v>
      </c>
      <c r="H9" s="3">
        <v>184</v>
      </c>
      <c r="I9" s="13">
        <v>103</v>
      </c>
      <c r="J9" s="3">
        <v>45</v>
      </c>
      <c r="K9" s="13">
        <v>92</v>
      </c>
      <c r="L9" s="3">
        <v>61</v>
      </c>
      <c r="M9" s="3">
        <v>63</v>
      </c>
      <c r="N9" s="3" t="s">
        <v>9</v>
      </c>
      <c r="O9" s="17">
        <v>50</v>
      </c>
      <c r="P9" s="17">
        <v>73</v>
      </c>
      <c r="Q9" s="3">
        <v>66</v>
      </c>
      <c r="R9" s="3">
        <v>63</v>
      </c>
      <c r="S9" s="3" t="s">
        <v>9</v>
      </c>
      <c r="T9" s="3" t="s">
        <v>9</v>
      </c>
      <c r="U9" s="3" t="s">
        <v>9</v>
      </c>
      <c r="V9" s="17">
        <v>173</v>
      </c>
      <c r="W9" s="3">
        <v>98</v>
      </c>
      <c r="X9" s="3">
        <v>81</v>
      </c>
      <c r="Y9" s="3">
        <v>90</v>
      </c>
      <c r="Z9" s="3">
        <v>27</v>
      </c>
      <c r="AA9" s="3">
        <v>26</v>
      </c>
      <c r="AB9" s="3" t="s">
        <v>9</v>
      </c>
      <c r="AC9" s="3">
        <v>133</v>
      </c>
      <c r="AD9" s="3">
        <v>175</v>
      </c>
      <c r="AE9" s="3">
        <v>168</v>
      </c>
      <c r="AF9" s="17" t="s">
        <v>9</v>
      </c>
      <c r="AG9" s="17" t="s">
        <v>30</v>
      </c>
      <c r="AH9" s="3" t="s">
        <v>9</v>
      </c>
      <c r="AI9" s="74">
        <f>SUM(D9:AH9)</f>
        <v>1796</v>
      </c>
      <c r="AJ9" s="75"/>
    </row>
    <row r="10" spans="1:42" x14ac:dyDescent="0.25">
      <c r="A10" s="72" t="s">
        <v>22</v>
      </c>
      <c r="B10" s="114"/>
      <c r="C10" s="73"/>
      <c r="D10" s="3">
        <v>21</v>
      </c>
      <c r="E10" s="3">
        <v>30</v>
      </c>
      <c r="F10" s="3">
        <v>7</v>
      </c>
      <c r="G10" s="3" t="s">
        <v>9</v>
      </c>
      <c r="H10" s="3">
        <v>29</v>
      </c>
      <c r="I10" s="13">
        <v>21</v>
      </c>
      <c r="J10" s="3">
        <v>13</v>
      </c>
      <c r="K10" s="3">
        <v>1</v>
      </c>
      <c r="L10" s="3">
        <v>1</v>
      </c>
      <c r="M10" s="3" t="s">
        <v>9</v>
      </c>
      <c r="N10" s="3" t="s">
        <v>9</v>
      </c>
      <c r="O10" s="17">
        <v>0</v>
      </c>
      <c r="P10" s="17">
        <v>11</v>
      </c>
      <c r="Q10" s="3">
        <v>11</v>
      </c>
      <c r="R10" s="3">
        <v>5</v>
      </c>
      <c r="S10" s="3">
        <v>20</v>
      </c>
      <c r="T10" s="3">
        <v>30</v>
      </c>
      <c r="U10" s="3" t="s">
        <v>9</v>
      </c>
      <c r="V10" s="17">
        <v>81</v>
      </c>
      <c r="W10" s="3">
        <v>106</v>
      </c>
      <c r="X10" s="3">
        <v>47</v>
      </c>
      <c r="Y10" s="3">
        <v>19</v>
      </c>
      <c r="Z10" s="3">
        <v>4</v>
      </c>
      <c r="AA10" s="3" t="s">
        <v>9</v>
      </c>
      <c r="AB10" s="3" t="s">
        <v>9</v>
      </c>
      <c r="AC10" s="3">
        <v>47</v>
      </c>
      <c r="AD10" s="3">
        <v>112</v>
      </c>
      <c r="AE10" s="3">
        <v>208</v>
      </c>
      <c r="AF10" s="17">
        <v>266</v>
      </c>
      <c r="AG10" s="17">
        <v>99</v>
      </c>
      <c r="AH10" s="3">
        <v>48</v>
      </c>
      <c r="AI10" s="74">
        <f t="shared" ref="AI10" si="1">SUM(D10:AH10)</f>
        <v>1237</v>
      </c>
      <c r="AJ10" s="75"/>
    </row>
    <row r="11" spans="1:42" x14ac:dyDescent="0.25">
      <c r="A11" s="72" t="s">
        <v>36</v>
      </c>
      <c r="B11" s="114"/>
      <c r="C11" s="73"/>
      <c r="D11" s="3" t="s">
        <v>9</v>
      </c>
      <c r="E11" s="3">
        <v>54</v>
      </c>
      <c r="F11" s="13">
        <v>120</v>
      </c>
      <c r="G11" s="3" t="s">
        <v>9</v>
      </c>
      <c r="H11" s="3">
        <v>13</v>
      </c>
      <c r="I11" s="13">
        <v>124</v>
      </c>
      <c r="J11" s="3">
        <v>56</v>
      </c>
      <c r="K11" s="13">
        <v>30</v>
      </c>
      <c r="L11" s="3">
        <v>65</v>
      </c>
      <c r="M11" s="3" t="s">
        <v>9</v>
      </c>
      <c r="N11" s="3" t="s">
        <v>9</v>
      </c>
      <c r="O11" s="17">
        <v>8</v>
      </c>
      <c r="P11" s="17">
        <v>9</v>
      </c>
      <c r="Q11" s="3">
        <v>11</v>
      </c>
      <c r="R11" s="17">
        <v>11</v>
      </c>
      <c r="S11" s="3">
        <v>7</v>
      </c>
      <c r="T11" s="13">
        <v>10</v>
      </c>
      <c r="U11" s="3" t="s">
        <v>9</v>
      </c>
      <c r="V11" s="17">
        <v>10</v>
      </c>
      <c r="W11" s="17">
        <v>16</v>
      </c>
      <c r="X11" s="3">
        <v>13</v>
      </c>
      <c r="Y11" s="3">
        <v>38</v>
      </c>
      <c r="Z11" s="3">
        <v>73</v>
      </c>
      <c r="AA11" s="3" t="s">
        <v>9</v>
      </c>
      <c r="AB11" s="3" t="s">
        <v>9</v>
      </c>
      <c r="AC11" s="13">
        <v>73</v>
      </c>
      <c r="AD11" s="13">
        <v>82</v>
      </c>
      <c r="AE11" s="13">
        <v>127</v>
      </c>
      <c r="AF11" s="17">
        <v>58</v>
      </c>
      <c r="AG11" s="17">
        <v>46</v>
      </c>
      <c r="AH11" s="3">
        <v>122</v>
      </c>
      <c r="AI11" s="74">
        <f t="shared" si="0"/>
        <v>1176</v>
      </c>
      <c r="AJ11" s="75"/>
    </row>
    <row r="12" spans="1:42" x14ac:dyDescent="0.25">
      <c r="A12" s="72" t="s">
        <v>33</v>
      </c>
      <c r="B12" s="114"/>
      <c r="C12" s="73"/>
      <c r="D12" s="3" t="s">
        <v>9</v>
      </c>
      <c r="E12" s="3">
        <v>56</v>
      </c>
      <c r="F12" s="3">
        <v>22</v>
      </c>
      <c r="G12" s="3" t="s">
        <v>9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 t="s">
        <v>10</v>
      </c>
      <c r="AE12" s="3" t="s">
        <v>10</v>
      </c>
      <c r="AF12" s="3" t="s">
        <v>10</v>
      </c>
      <c r="AG12" s="3" t="s">
        <v>10</v>
      </c>
      <c r="AH12" s="3" t="s">
        <v>10</v>
      </c>
      <c r="AI12" s="74">
        <f>SUM(D12:AH12)</f>
        <v>78</v>
      </c>
      <c r="AJ12" s="75"/>
    </row>
    <row r="13" spans="1:42" ht="13.5" thickBot="1" x14ac:dyDescent="0.3">
      <c r="A13" s="92" t="s">
        <v>1</v>
      </c>
      <c r="B13" s="115"/>
      <c r="C13" s="93"/>
      <c r="D13" s="10">
        <f>SUM(D4:D11)</f>
        <v>53</v>
      </c>
      <c r="E13" s="10">
        <f>SUM(E4:E11)</f>
        <v>518</v>
      </c>
      <c r="F13" s="10">
        <f>SUM(F4:F11)</f>
        <v>251</v>
      </c>
      <c r="G13" s="10" t="s">
        <v>29</v>
      </c>
      <c r="H13" s="10">
        <f t="shared" ref="H13:M13" si="2">SUM(H4:H11)</f>
        <v>958</v>
      </c>
      <c r="I13" s="10">
        <f t="shared" si="2"/>
        <v>901</v>
      </c>
      <c r="J13" s="10">
        <f t="shared" si="2"/>
        <v>511</v>
      </c>
      <c r="K13" s="10">
        <f t="shared" si="2"/>
        <v>620</v>
      </c>
      <c r="L13" s="10">
        <f t="shared" si="2"/>
        <v>586</v>
      </c>
      <c r="M13" s="10">
        <f t="shared" si="2"/>
        <v>385</v>
      </c>
      <c r="N13" s="10" t="s">
        <v>29</v>
      </c>
      <c r="O13" s="10">
        <f t="shared" ref="O13:T13" si="3">SUM(O4:O11)</f>
        <v>378</v>
      </c>
      <c r="P13" s="10">
        <f t="shared" si="3"/>
        <v>351</v>
      </c>
      <c r="Q13" s="10">
        <f t="shared" si="3"/>
        <v>382</v>
      </c>
      <c r="R13" s="10">
        <f t="shared" si="3"/>
        <v>421</v>
      </c>
      <c r="S13" s="10">
        <f t="shared" si="3"/>
        <v>302</v>
      </c>
      <c r="T13" s="10">
        <f t="shared" si="3"/>
        <v>121</v>
      </c>
      <c r="U13" s="10" t="s">
        <v>29</v>
      </c>
      <c r="V13" s="10">
        <f t="shared" ref="V13:AA13" si="4">SUM(V4:V11)</f>
        <v>724</v>
      </c>
      <c r="W13" s="10">
        <f t="shared" si="4"/>
        <v>937</v>
      </c>
      <c r="X13" s="10">
        <f t="shared" si="4"/>
        <v>583</v>
      </c>
      <c r="Y13" s="10">
        <f t="shared" si="4"/>
        <v>340</v>
      </c>
      <c r="Z13" s="10">
        <f t="shared" si="4"/>
        <v>165</v>
      </c>
      <c r="AA13" s="10">
        <f t="shared" si="4"/>
        <v>98</v>
      </c>
      <c r="AB13" s="10" t="s">
        <v>29</v>
      </c>
      <c r="AC13" s="10">
        <f t="shared" ref="AC13:AH13" si="5">SUM(AC4:AC11)</f>
        <v>992</v>
      </c>
      <c r="AD13" s="10">
        <f t="shared" si="5"/>
        <v>1132</v>
      </c>
      <c r="AE13" s="10">
        <f t="shared" si="5"/>
        <v>1512</v>
      </c>
      <c r="AF13" s="10">
        <f t="shared" si="5"/>
        <v>1414</v>
      </c>
      <c r="AG13" s="10">
        <f t="shared" si="5"/>
        <v>993</v>
      </c>
      <c r="AH13" s="10">
        <f t="shared" si="5"/>
        <v>239</v>
      </c>
      <c r="AI13" s="116">
        <f t="shared" ref="AI13" si="6">SUM(D13:AH13)</f>
        <v>15867</v>
      </c>
      <c r="AJ13" s="117"/>
      <c r="AK13" s="4"/>
    </row>
    <row r="14" spans="1:42" ht="13.5" thickBot="1" x14ac:dyDescent="0.3"/>
    <row r="15" spans="1:42" ht="22.5" customHeight="1" thickBot="1" x14ac:dyDescent="0.3">
      <c r="A15" s="96" t="s">
        <v>60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42" ht="57" customHeight="1" thickBot="1" x14ac:dyDescent="0.3">
      <c r="A16" s="97" t="s">
        <v>0</v>
      </c>
      <c r="B16" s="132" t="s">
        <v>17</v>
      </c>
      <c r="C16" s="133"/>
      <c r="D16" s="11">
        <v>45778</v>
      </c>
      <c r="E16" s="11">
        <v>45779</v>
      </c>
      <c r="F16" s="11">
        <v>45780</v>
      </c>
      <c r="G16" s="11">
        <v>45781</v>
      </c>
      <c r="H16" s="11">
        <v>45782</v>
      </c>
      <c r="I16" s="11">
        <v>45783</v>
      </c>
      <c r="J16" s="11">
        <v>45784</v>
      </c>
      <c r="K16" s="11">
        <v>45785</v>
      </c>
      <c r="L16" s="11">
        <v>45786</v>
      </c>
      <c r="M16" s="11">
        <v>45787</v>
      </c>
      <c r="N16" s="11">
        <v>45788</v>
      </c>
      <c r="O16" s="11">
        <v>45789</v>
      </c>
      <c r="P16" s="11">
        <v>45790</v>
      </c>
      <c r="Q16" s="11">
        <v>45791</v>
      </c>
      <c r="R16" s="11">
        <v>45792</v>
      </c>
      <c r="S16" s="11">
        <v>45793</v>
      </c>
      <c r="T16" s="11">
        <v>45794</v>
      </c>
      <c r="U16" s="11">
        <v>45795</v>
      </c>
      <c r="V16" s="11">
        <v>45796</v>
      </c>
      <c r="W16" s="11">
        <v>45797</v>
      </c>
      <c r="X16" s="11">
        <v>45798</v>
      </c>
      <c r="Y16" s="11">
        <v>45799</v>
      </c>
      <c r="Z16" s="11">
        <v>45800</v>
      </c>
      <c r="AA16" s="11">
        <v>45801</v>
      </c>
      <c r="AB16" s="11">
        <v>45802</v>
      </c>
      <c r="AC16" s="11">
        <v>45803</v>
      </c>
      <c r="AD16" s="11">
        <v>45804</v>
      </c>
      <c r="AE16" s="11">
        <v>45805</v>
      </c>
      <c r="AF16" s="11">
        <v>45806</v>
      </c>
      <c r="AG16" s="11">
        <v>45807</v>
      </c>
      <c r="AH16" s="11">
        <v>45808</v>
      </c>
      <c r="AI16" s="101" t="s">
        <v>28</v>
      </c>
      <c r="AJ16" s="103" t="s">
        <v>27</v>
      </c>
    </row>
    <row r="17" spans="1:36" ht="70.5" customHeight="1" thickBot="1" x14ac:dyDescent="0.3">
      <c r="A17" s="98"/>
      <c r="B17" s="146"/>
      <c r="C17" s="147"/>
      <c r="D17" s="16" t="s">
        <v>6</v>
      </c>
      <c r="E17" s="16" t="s">
        <v>7</v>
      </c>
      <c r="F17" s="16" t="s">
        <v>8</v>
      </c>
      <c r="G17" s="16" t="s">
        <v>2</v>
      </c>
      <c r="H17" s="16" t="s">
        <v>3</v>
      </c>
      <c r="I17" s="16" t="s">
        <v>4</v>
      </c>
      <c r="J17" s="16" t="s">
        <v>5</v>
      </c>
      <c r="K17" s="16" t="s">
        <v>6</v>
      </c>
      <c r="L17" s="16" t="s">
        <v>7</v>
      </c>
      <c r="M17" s="16" t="s">
        <v>8</v>
      </c>
      <c r="N17" s="16" t="s">
        <v>2</v>
      </c>
      <c r="O17" s="16" t="s">
        <v>3</v>
      </c>
      <c r="P17" s="16" t="s">
        <v>4</v>
      </c>
      <c r="Q17" s="16" t="s">
        <v>5</v>
      </c>
      <c r="R17" s="16" t="s">
        <v>6</v>
      </c>
      <c r="S17" s="16" t="s">
        <v>7</v>
      </c>
      <c r="T17" s="16" t="s">
        <v>8</v>
      </c>
      <c r="U17" s="16" t="s">
        <v>2</v>
      </c>
      <c r="V17" s="16" t="s">
        <v>3</v>
      </c>
      <c r="W17" s="16" t="s">
        <v>4</v>
      </c>
      <c r="X17" s="16" t="s">
        <v>5</v>
      </c>
      <c r="Y17" s="16" t="s">
        <v>6</v>
      </c>
      <c r="Z17" s="16" t="s">
        <v>7</v>
      </c>
      <c r="AA17" s="16" t="s">
        <v>8</v>
      </c>
      <c r="AB17" s="16" t="s">
        <v>2</v>
      </c>
      <c r="AC17" s="16" t="s">
        <v>3</v>
      </c>
      <c r="AD17" s="16" t="s">
        <v>4</v>
      </c>
      <c r="AE17" s="16" t="s">
        <v>5</v>
      </c>
      <c r="AF17" s="16" t="s">
        <v>6</v>
      </c>
      <c r="AG17" s="16" t="s">
        <v>7</v>
      </c>
      <c r="AH17" s="16" t="s">
        <v>8</v>
      </c>
      <c r="AI17" s="102"/>
      <c r="AJ17" s="104"/>
    </row>
    <row r="18" spans="1:36" x14ac:dyDescent="0.25">
      <c r="A18" s="106" t="s">
        <v>35</v>
      </c>
      <c r="B18" s="124" t="s">
        <v>18</v>
      </c>
      <c r="C18" s="29" t="s">
        <v>48</v>
      </c>
      <c r="D18" s="7" t="s">
        <v>9</v>
      </c>
      <c r="E18" s="7" t="s">
        <v>9</v>
      </c>
      <c r="F18" s="7" t="s">
        <v>9</v>
      </c>
      <c r="G18" s="7" t="s">
        <v>9</v>
      </c>
      <c r="H18" s="7">
        <v>17</v>
      </c>
      <c r="I18" s="7">
        <v>19</v>
      </c>
      <c r="J18" s="7">
        <v>21</v>
      </c>
      <c r="K18" s="7">
        <v>9</v>
      </c>
      <c r="L18" s="7">
        <v>4</v>
      </c>
      <c r="M18" s="7" t="s">
        <v>9</v>
      </c>
      <c r="N18" s="7" t="s">
        <v>9</v>
      </c>
      <c r="O18" s="7">
        <v>20</v>
      </c>
      <c r="P18" s="20">
        <v>2</v>
      </c>
      <c r="Q18" s="7">
        <v>4</v>
      </c>
      <c r="R18" s="7">
        <v>7</v>
      </c>
      <c r="S18" s="7">
        <v>4</v>
      </c>
      <c r="T18" s="7" t="s">
        <v>9</v>
      </c>
      <c r="U18" s="7" t="s">
        <v>9</v>
      </c>
      <c r="V18" s="7">
        <v>8</v>
      </c>
      <c r="W18" s="7">
        <v>22</v>
      </c>
      <c r="X18" s="7">
        <v>17</v>
      </c>
      <c r="Y18" s="7">
        <v>1</v>
      </c>
      <c r="Z18" s="7">
        <v>0</v>
      </c>
      <c r="AA18" s="7" t="s">
        <v>9</v>
      </c>
      <c r="AB18" s="7" t="s">
        <v>9</v>
      </c>
      <c r="AC18" s="7">
        <v>11</v>
      </c>
      <c r="AD18" s="7">
        <v>33</v>
      </c>
      <c r="AE18" s="7">
        <v>47</v>
      </c>
      <c r="AF18" s="7">
        <v>18</v>
      </c>
      <c r="AG18" s="7">
        <v>48</v>
      </c>
      <c r="AH18" s="7" t="s">
        <v>9</v>
      </c>
      <c r="AI18" s="27">
        <f t="shared" ref="AI18:AI23" si="7">SUM(D18:AH18)</f>
        <v>312</v>
      </c>
      <c r="AJ18" s="85">
        <f>SUM(AI18:AI23)</f>
        <v>907</v>
      </c>
    </row>
    <row r="19" spans="1:36" x14ac:dyDescent="0.25">
      <c r="A19" s="123"/>
      <c r="B19" s="125"/>
      <c r="C19" s="32" t="s">
        <v>50</v>
      </c>
      <c r="D19" s="14" t="s">
        <v>9</v>
      </c>
      <c r="E19" s="14" t="s">
        <v>9</v>
      </c>
      <c r="F19" s="14" t="s">
        <v>9</v>
      </c>
      <c r="G19" s="14" t="s">
        <v>9</v>
      </c>
      <c r="H19" s="14">
        <v>6</v>
      </c>
      <c r="I19" s="14">
        <v>12</v>
      </c>
      <c r="J19" s="14">
        <v>14</v>
      </c>
      <c r="K19" s="14">
        <v>6</v>
      </c>
      <c r="L19" s="14">
        <v>26</v>
      </c>
      <c r="M19" s="14" t="s">
        <v>9</v>
      </c>
      <c r="N19" s="14" t="s">
        <v>9</v>
      </c>
      <c r="O19" s="14">
        <v>7</v>
      </c>
      <c r="P19" s="22">
        <v>16</v>
      </c>
      <c r="Q19" s="14">
        <v>32</v>
      </c>
      <c r="R19" s="14">
        <v>12</v>
      </c>
      <c r="S19" s="14">
        <v>19</v>
      </c>
      <c r="T19" s="14" t="s">
        <v>9</v>
      </c>
      <c r="U19" s="14" t="s">
        <v>9</v>
      </c>
      <c r="V19" s="14">
        <v>16</v>
      </c>
      <c r="W19" s="14">
        <v>4</v>
      </c>
      <c r="X19" s="14">
        <v>15</v>
      </c>
      <c r="Y19" s="14">
        <v>11</v>
      </c>
      <c r="Z19" s="14">
        <v>8</v>
      </c>
      <c r="AA19" s="14" t="s">
        <v>9</v>
      </c>
      <c r="AB19" s="14" t="s">
        <v>9</v>
      </c>
      <c r="AC19" s="14">
        <v>15</v>
      </c>
      <c r="AD19" s="14">
        <v>5</v>
      </c>
      <c r="AE19" s="14">
        <v>6</v>
      </c>
      <c r="AF19" s="14">
        <v>12</v>
      </c>
      <c r="AG19" s="14">
        <v>15</v>
      </c>
      <c r="AH19" s="14" t="s">
        <v>9</v>
      </c>
      <c r="AI19" s="28">
        <f t="shared" si="7"/>
        <v>257</v>
      </c>
      <c r="AJ19" s="122"/>
    </row>
    <row r="20" spans="1:36" x14ac:dyDescent="0.25">
      <c r="A20" s="123"/>
      <c r="B20" s="125"/>
      <c r="C20" s="32" t="s">
        <v>49</v>
      </c>
      <c r="D20" s="14" t="s">
        <v>9</v>
      </c>
      <c r="E20" s="14" t="s">
        <v>9</v>
      </c>
      <c r="F20" s="14" t="s">
        <v>9</v>
      </c>
      <c r="G20" s="14" t="s">
        <v>9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 t="s">
        <v>9</v>
      </c>
      <c r="N20" s="14" t="s">
        <v>9</v>
      </c>
      <c r="O20" s="14">
        <v>0</v>
      </c>
      <c r="P20" s="22">
        <v>0</v>
      </c>
      <c r="Q20" s="14">
        <v>0</v>
      </c>
      <c r="R20" s="14">
        <v>0</v>
      </c>
      <c r="S20" s="14">
        <v>0</v>
      </c>
      <c r="T20" s="14" t="s">
        <v>9</v>
      </c>
      <c r="U20" s="14" t="s">
        <v>9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 t="s">
        <v>9</v>
      </c>
      <c r="AB20" s="14" t="s">
        <v>9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 t="s">
        <v>9</v>
      </c>
      <c r="AI20" s="28">
        <f t="shared" si="7"/>
        <v>0</v>
      </c>
      <c r="AJ20" s="122"/>
    </row>
    <row r="21" spans="1:36" x14ac:dyDescent="0.25">
      <c r="A21" s="123"/>
      <c r="B21" s="126"/>
      <c r="C21" s="32" t="s">
        <v>51</v>
      </c>
      <c r="D21" s="14" t="s">
        <v>9</v>
      </c>
      <c r="E21" s="14" t="s">
        <v>9</v>
      </c>
      <c r="F21" s="14" t="s">
        <v>9</v>
      </c>
      <c r="G21" s="14" t="s">
        <v>9</v>
      </c>
      <c r="H21" s="14">
        <v>1</v>
      </c>
      <c r="I21" s="14">
        <v>4</v>
      </c>
      <c r="J21" s="14">
        <v>0</v>
      </c>
      <c r="K21" s="14">
        <v>4</v>
      </c>
      <c r="L21" s="14">
        <v>5</v>
      </c>
      <c r="M21" s="14" t="s">
        <v>9</v>
      </c>
      <c r="N21" s="14" t="s">
        <v>9</v>
      </c>
      <c r="O21" s="14">
        <v>1</v>
      </c>
      <c r="P21" s="22">
        <v>2</v>
      </c>
      <c r="Q21" s="14">
        <v>2</v>
      </c>
      <c r="R21" s="14">
        <v>8</v>
      </c>
      <c r="S21" s="14">
        <v>3</v>
      </c>
      <c r="T21" s="14" t="s">
        <v>9</v>
      </c>
      <c r="U21" s="14" t="s">
        <v>9</v>
      </c>
      <c r="V21" s="14">
        <v>6</v>
      </c>
      <c r="W21" s="14">
        <v>5</v>
      </c>
      <c r="X21" s="14">
        <v>1</v>
      </c>
      <c r="Y21" s="14">
        <v>9</v>
      </c>
      <c r="Z21" s="14">
        <v>4</v>
      </c>
      <c r="AA21" s="14" t="s">
        <v>9</v>
      </c>
      <c r="AB21" s="14" t="s">
        <v>9</v>
      </c>
      <c r="AC21" s="14">
        <v>2</v>
      </c>
      <c r="AD21" s="14">
        <v>1</v>
      </c>
      <c r="AE21" s="14">
        <v>3</v>
      </c>
      <c r="AF21" s="14">
        <v>5</v>
      </c>
      <c r="AG21" s="14">
        <v>7</v>
      </c>
      <c r="AH21" s="14" t="s">
        <v>9</v>
      </c>
      <c r="AI21" s="28">
        <f t="shared" si="7"/>
        <v>73</v>
      </c>
      <c r="AJ21" s="122"/>
    </row>
    <row r="22" spans="1:36" x14ac:dyDescent="0.25">
      <c r="A22" s="72"/>
      <c r="B22" s="127" t="s">
        <v>45</v>
      </c>
      <c r="C22" s="30" t="s">
        <v>46</v>
      </c>
      <c r="D22" s="3" t="s">
        <v>9</v>
      </c>
      <c r="E22" s="3" t="s">
        <v>9</v>
      </c>
      <c r="F22" s="3" t="s">
        <v>9</v>
      </c>
      <c r="G22" s="3" t="s">
        <v>9</v>
      </c>
      <c r="H22" s="3">
        <v>12</v>
      </c>
      <c r="I22" s="3">
        <v>24</v>
      </c>
      <c r="J22" s="3">
        <v>9</v>
      </c>
      <c r="K22" s="3">
        <v>9</v>
      </c>
      <c r="L22" s="3">
        <v>8</v>
      </c>
      <c r="M22" s="3" t="s">
        <v>9</v>
      </c>
      <c r="N22" s="3" t="s">
        <v>9</v>
      </c>
      <c r="O22" s="3">
        <v>4</v>
      </c>
      <c r="P22" s="17">
        <v>16</v>
      </c>
      <c r="Q22" s="3">
        <v>5</v>
      </c>
      <c r="R22" s="3">
        <v>19</v>
      </c>
      <c r="S22" s="3">
        <v>10</v>
      </c>
      <c r="T22" s="3" t="s">
        <v>9</v>
      </c>
      <c r="U22" s="3" t="s">
        <v>9</v>
      </c>
      <c r="V22" s="3">
        <v>8</v>
      </c>
      <c r="W22" s="3">
        <v>20</v>
      </c>
      <c r="X22" s="3">
        <v>13</v>
      </c>
      <c r="Y22" s="3">
        <v>14</v>
      </c>
      <c r="Z22" s="3">
        <v>4</v>
      </c>
      <c r="AA22" s="3" t="s">
        <v>9</v>
      </c>
      <c r="AB22" s="3" t="s">
        <v>9</v>
      </c>
      <c r="AC22" s="3">
        <v>6</v>
      </c>
      <c r="AD22" s="3">
        <v>36</v>
      </c>
      <c r="AE22" s="3">
        <v>8</v>
      </c>
      <c r="AF22" s="3">
        <v>5</v>
      </c>
      <c r="AG22" s="3">
        <v>30</v>
      </c>
      <c r="AH22" s="3" t="s">
        <v>9</v>
      </c>
      <c r="AI22" s="28">
        <f t="shared" si="7"/>
        <v>260</v>
      </c>
      <c r="AJ22" s="86"/>
    </row>
    <row r="23" spans="1:36" ht="13.5" thickBot="1" x14ac:dyDescent="0.3">
      <c r="A23" s="107"/>
      <c r="B23" s="128"/>
      <c r="C23" s="31" t="s">
        <v>47</v>
      </c>
      <c r="D23" s="8" t="s">
        <v>9</v>
      </c>
      <c r="E23" s="8" t="s">
        <v>9</v>
      </c>
      <c r="F23" s="8" t="s">
        <v>9</v>
      </c>
      <c r="G23" s="8" t="s">
        <v>9</v>
      </c>
      <c r="H23" s="8">
        <v>1</v>
      </c>
      <c r="I23" s="8">
        <v>0</v>
      </c>
      <c r="J23" s="8">
        <v>1</v>
      </c>
      <c r="K23" s="8">
        <v>0</v>
      </c>
      <c r="L23" s="8">
        <v>0</v>
      </c>
      <c r="M23" s="8" t="s">
        <v>9</v>
      </c>
      <c r="N23" s="8" t="s">
        <v>9</v>
      </c>
      <c r="O23" s="8">
        <v>0</v>
      </c>
      <c r="P23" s="21">
        <v>0</v>
      </c>
      <c r="Q23" s="8">
        <v>0</v>
      </c>
      <c r="R23" s="8">
        <v>0</v>
      </c>
      <c r="S23" s="8">
        <v>0</v>
      </c>
      <c r="T23" s="8" t="s">
        <v>9</v>
      </c>
      <c r="U23" s="8" t="s">
        <v>9</v>
      </c>
      <c r="V23" s="8">
        <v>0</v>
      </c>
      <c r="W23" s="8">
        <v>0</v>
      </c>
      <c r="X23" s="8">
        <v>0</v>
      </c>
      <c r="Y23" s="8">
        <v>1</v>
      </c>
      <c r="Z23" s="8">
        <v>0</v>
      </c>
      <c r="AA23" s="8" t="s">
        <v>9</v>
      </c>
      <c r="AB23" s="8" t="s">
        <v>9</v>
      </c>
      <c r="AC23" s="8">
        <v>1</v>
      </c>
      <c r="AD23" s="8">
        <v>1</v>
      </c>
      <c r="AE23" s="8">
        <v>0</v>
      </c>
      <c r="AF23" s="8">
        <v>0</v>
      </c>
      <c r="AG23" s="8">
        <v>0</v>
      </c>
      <c r="AH23" s="8" t="s">
        <v>9</v>
      </c>
      <c r="AI23" s="26">
        <f t="shared" si="7"/>
        <v>5</v>
      </c>
      <c r="AJ23" s="87"/>
    </row>
    <row r="24" spans="1:36" x14ac:dyDescent="0.25">
      <c r="A24" s="89" t="s">
        <v>36</v>
      </c>
      <c r="B24" s="136" t="s">
        <v>18</v>
      </c>
      <c r="C24" s="29" t="s">
        <v>48</v>
      </c>
      <c r="D24" s="7" t="s">
        <v>9</v>
      </c>
      <c r="E24" s="7">
        <v>4</v>
      </c>
      <c r="F24" s="7">
        <v>1</v>
      </c>
      <c r="G24" s="7" t="s">
        <v>9</v>
      </c>
      <c r="H24" s="7">
        <v>0</v>
      </c>
      <c r="I24" s="7">
        <v>0</v>
      </c>
      <c r="J24" s="7">
        <v>0</v>
      </c>
      <c r="K24" s="7">
        <v>2</v>
      </c>
      <c r="L24" s="7">
        <v>6</v>
      </c>
      <c r="M24" s="7" t="s">
        <v>9</v>
      </c>
      <c r="N24" s="7" t="s">
        <v>9</v>
      </c>
      <c r="O24" s="7">
        <v>24</v>
      </c>
      <c r="P24" s="7">
        <v>0</v>
      </c>
      <c r="Q24" s="7">
        <v>0</v>
      </c>
      <c r="R24" s="7">
        <v>0</v>
      </c>
      <c r="S24" s="7">
        <v>1</v>
      </c>
      <c r="T24" s="7">
        <v>0</v>
      </c>
      <c r="U24" s="7" t="s">
        <v>9</v>
      </c>
      <c r="V24" s="7">
        <v>0</v>
      </c>
      <c r="W24" s="7">
        <v>0</v>
      </c>
      <c r="X24" s="7">
        <v>0</v>
      </c>
      <c r="Y24" s="7">
        <v>2</v>
      </c>
      <c r="Z24" s="7">
        <v>0</v>
      </c>
      <c r="AA24" s="7" t="s">
        <v>9</v>
      </c>
      <c r="AB24" s="7" t="s">
        <v>9</v>
      </c>
      <c r="AC24" s="7">
        <v>0</v>
      </c>
      <c r="AD24" s="7">
        <v>2</v>
      </c>
      <c r="AE24" s="7">
        <v>1</v>
      </c>
      <c r="AF24" s="7">
        <v>9</v>
      </c>
      <c r="AG24" s="7">
        <v>14</v>
      </c>
      <c r="AH24" s="7">
        <v>5</v>
      </c>
      <c r="AI24" s="27">
        <f t="shared" ref="AI24:AI29" si="8">SUM(D24:AH24)</f>
        <v>71</v>
      </c>
      <c r="AJ24" s="85">
        <f>SUM(AI24:AI29)</f>
        <v>826</v>
      </c>
    </row>
    <row r="25" spans="1:36" x14ac:dyDescent="0.25">
      <c r="A25" s="121"/>
      <c r="B25" s="137"/>
      <c r="C25" s="32" t="s">
        <v>50</v>
      </c>
      <c r="D25" s="14" t="s">
        <v>9</v>
      </c>
      <c r="E25" s="14">
        <v>0</v>
      </c>
      <c r="F25" s="14">
        <v>1</v>
      </c>
      <c r="G25" s="14" t="s">
        <v>9</v>
      </c>
      <c r="H25" s="14">
        <v>2</v>
      </c>
      <c r="I25" s="14">
        <v>3</v>
      </c>
      <c r="J25" s="14">
        <v>0</v>
      </c>
      <c r="K25" s="14">
        <v>0</v>
      </c>
      <c r="L25" s="14">
        <v>1</v>
      </c>
      <c r="M25" s="14" t="s">
        <v>9</v>
      </c>
      <c r="N25" s="14" t="s">
        <v>9</v>
      </c>
      <c r="O25" s="14">
        <v>0</v>
      </c>
      <c r="P25" s="14">
        <v>6</v>
      </c>
      <c r="Q25" s="14">
        <v>0</v>
      </c>
      <c r="R25" s="14">
        <v>1</v>
      </c>
      <c r="S25" s="14">
        <v>0</v>
      </c>
      <c r="T25" s="14">
        <v>2</v>
      </c>
      <c r="U25" s="14" t="s">
        <v>9</v>
      </c>
      <c r="V25" s="14">
        <v>0</v>
      </c>
      <c r="W25" s="14">
        <v>1</v>
      </c>
      <c r="X25" s="14">
        <v>1</v>
      </c>
      <c r="Y25" s="14">
        <v>1</v>
      </c>
      <c r="Z25" s="14">
        <v>0</v>
      </c>
      <c r="AA25" s="14" t="s">
        <v>9</v>
      </c>
      <c r="AB25" s="14" t="s">
        <v>9</v>
      </c>
      <c r="AC25" s="14">
        <v>1</v>
      </c>
      <c r="AD25" s="14">
        <v>0</v>
      </c>
      <c r="AE25" s="14">
        <v>0</v>
      </c>
      <c r="AF25" s="14">
        <v>0</v>
      </c>
      <c r="AG25" s="14">
        <v>2</v>
      </c>
      <c r="AH25" s="14">
        <v>1</v>
      </c>
      <c r="AI25" s="28">
        <f t="shared" si="8"/>
        <v>23</v>
      </c>
      <c r="AJ25" s="122"/>
    </row>
    <row r="26" spans="1:36" x14ac:dyDescent="0.25">
      <c r="A26" s="121"/>
      <c r="B26" s="137"/>
      <c r="C26" s="32" t="s">
        <v>49</v>
      </c>
      <c r="D26" s="14" t="s">
        <v>9</v>
      </c>
      <c r="E26" s="14">
        <v>28</v>
      </c>
      <c r="F26" s="14">
        <v>12</v>
      </c>
      <c r="G26" s="14" t="s">
        <v>9</v>
      </c>
      <c r="H26" s="14">
        <v>2</v>
      </c>
      <c r="I26" s="14">
        <v>8</v>
      </c>
      <c r="J26" s="14">
        <v>8</v>
      </c>
      <c r="K26" s="14">
        <v>10</v>
      </c>
      <c r="L26" s="14">
        <v>12</v>
      </c>
      <c r="M26" s="14" t="s">
        <v>9</v>
      </c>
      <c r="N26" s="14" t="s">
        <v>9</v>
      </c>
      <c r="O26" s="14">
        <v>23</v>
      </c>
      <c r="P26" s="14">
        <v>4</v>
      </c>
      <c r="Q26" s="14">
        <v>12</v>
      </c>
      <c r="R26" s="14">
        <v>8</v>
      </c>
      <c r="S26" s="14">
        <v>11</v>
      </c>
      <c r="T26" s="14">
        <v>22</v>
      </c>
      <c r="U26" s="14" t="s">
        <v>9</v>
      </c>
      <c r="V26" s="14">
        <v>12</v>
      </c>
      <c r="W26" s="14">
        <v>8</v>
      </c>
      <c r="X26" s="14">
        <v>26</v>
      </c>
      <c r="Y26" s="14">
        <v>8</v>
      </c>
      <c r="Z26" s="14">
        <v>5</v>
      </c>
      <c r="AA26" s="14" t="s">
        <v>9</v>
      </c>
      <c r="AB26" s="14" t="s">
        <v>9</v>
      </c>
      <c r="AC26" s="14">
        <v>7</v>
      </c>
      <c r="AD26" s="14">
        <v>30</v>
      </c>
      <c r="AE26" s="14">
        <v>14</v>
      </c>
      <c r="AF26" s="14">
        <v>44</v>
      </c>
      <c r="AG26" s="14">
        <v>15</v>
      </c>
      <c r="AH26" s="14">
        <v>2</v>
      </c>
      <c r="AI26" s="28">
        <f t="shared" si="8"/>
        <v>331</v>
      </c>
      <c r="AJ26" s="122"/>
    </row>
    <row r="27" spans="1:36" x14ac:dyDescent="0.25">
      <c r="A27" s="121"/>
      <c r="B27" s="138"/>
      <c r="C27" s="32" t="s">
        <v>51</v>
      </c>
      <c r="D27" s="14" t="s">
        <v>9</v>
      </c>
      <c r="E27" s="14">
        <v>7</v>
      </c>
      <c r="F27" s="14">
        <v>3</v>
      </c>
      <c r="G27" s="14" t="s">
        <v>9</v>
      </c>
      <c r="H27" s="14">
        <v>10</v>
      </c>
      <c r="I27" s="14">
        <v>12</v>
      </c>
      <c r="J27" s="14">
        <v>7</v>
      </c>
      <c r="K27" s="14">
        <v>9</v>
      </c>
      <c r="L27" s="14">
        <v>4</v>
      </c>
      <c r="M27" s="14" t="s">
        <v>9</v>
      </c>
      <c r="N27" s="14" t="s">
        <v>9</v>
      </c>
      <c r="O27" s="14">
        <v>5</v>
      </c>
      <c r="P27" s="14">
        <v>8</v>
      </c>
      <c r="Q27" s="14">
        <v>7</v>
      </c>
      <c r="R27" s="14">
        <v>4</v>
      </c>
      <c r="S27" s="14">
        <v>8</v>
      </c>
      <c r="T27" s="14">
        <v>2</v>
      </c>
      <c r="U27" s="14" t="s">
        <v>9</v>
      </c>
      <c r="V27" s="14">
        <v>6</v>
      </c>
      <c r="W27" s="14">
        <v>10</v>
      </c>
      <c r="X27" s="14">
        <v>10</v>
      </c>
      <c r="Y27" s="14">
        <v>6</v>
      </c>
      <c r="Z27" s="14">
        <v>9</v>
      </c>
      <c r="AA27" s="14" t="s">
        <v>9</v>
      </c>
      <c r="AB27" s="14" t="s">
        <v>9</v>
      </c>
      <c r="AC27" s="14">
        <v>5</v>
      </c>
      <c r="AD27" s="14">
        <v>7</v>
      </c>
      <c r="AE27" s="14">
        <v>7</v>
      </c>
      <c r="AF27" s="14">
        <v>5</v>
      </c>
      <c r="AG27" s="14">
        <v>10</v>
      </c>
      <c r="AH27" s="14">
        <v>3</v>
      </c>
      <c r="AI27" s="28">
        <f t="shared" si="8"/>
        <v>164</v>
      </c>
      <c r="AJ27" s="122"/>
    </row>
    <row r="28" spans="1:36" x14ac:dyDescent="0.25">
      <c r="A28" s="90"/>
      <c r="B28" s="139" t="s">
        <v>45</v>
      </c>
      <c r="C28" s="30" t="s">
        <v>46</v>
      </c>
      <c r="D28" s="3" t="s">
        <v>9</v>
      </c>
      <c r="E28" s="3">
        <v>9</v>
      </c>
      <c r="F28" s="3">
        <v>6</v>
      </c>
      <c r="G28" s="3" t="s">
        <v>9</v>
      </c>
      <c r="H28" s="3">
        <v>11</v>
      </c>
      <c r="I28" s="3">
        <v>14</v>
      </c>
      <c r="J28" s="3">
        <v>8</v>
      </c>
      <c r="K28" s="3">
        <v>11</v>
      </c>
      <c r="L28" s="3">
        <v>6</v>
      </c>
      <c r="M28" s="3" t="s">
        <v>9</v>
      </c>
      <c r="N28" s="3" t="s">
        <v>9</v>
      </c>
      <c r="O28" s="3">
        <v>22</v>
      </c>
      <c r="P28" s="3">
        <v>12</v>
      </c>
      <c r="Q28" s="3">
        <v>9</v>
      </c>
      <c r="R28" s="3">
        <v>3</v>
      </c>
      <c r="S28" s="3">
        <v>8</v>
      </c>
      <c r="T28" s="3">
        <v>6</v>
      </c>
      <c r="U28" s="3" t="s">
        <v>9</v>
      </c>
      <c r="V28" s="3">
        <v>9</v>
      </c>
      <c r="W28" s="3">
        <v>10</v>
      </c>
      <c r="X28" s="3">
        <v>11</v>
      </c>
      <c r="Y28" s="3">
        <v>11</v>
      </c>
      <c r="Z28" s="3">
        <v>7</v>
      </c>
      <c r="AA28" s="3" t="s">
        <v>9</v>
      </c>
      <c r="AB28" s="3" t="s">
        <v>9</v>
      </c>
      <c r="AC28" s="3">
        <v>4</v>
      </c>
      <c r="AD28" s="3">
        <v>7</v>
      </c>
      <c r="AE28" s="3">
        <v>11</v>
      </c>
      <c r="AF28" s="3">
        <v>8</v>
      </c>
      <c r="AG28" s="3">
        <v>15</v>
      </c>
      <c r="AH28" s="3">
        <v>8</v>
      </c>
      <c r="AI28" s="28">
        <f t="shared" si="8"/>
        <v>226</v>
      </c>
      <c r="AJ28" s="86"/>
    </row>
    <row r="29" spans="1:36" ht="13.5" thickBot="1" x14ac:dyDescent="0.3">
      <c r="A29" s="91"/>
      <c r="B29" s="140"/>
      <c r="C29" s="31" t="s">
        <v>47</v>
      </c>
      <c r="D29" s="8" t="s">
        <v>9</v>
      </c>
      <c r="E29" s="8">
        <v>0</v>
      </c>
      <c r="F29" s="8">
        <v>0</v>
      </c>
      <c r="G29" s="8" t="s">
        <v>9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 t="s">
        <v>9</v>
      </c>
      <c r="N29" s="8" t="s">
        <v>9</v>
      </c>
      <c r="O29" s="8">
        <v>0</v>
      </c>
      <c r="P29" s="8">
        <v>1</v>
      </c>
      <c r="Q29" s="8">
        <v>0</v>
      </c>
      <c r="R29" s="8">
        <v>0</v>
      </c>
      <c r="S29" s="8">
        <v>3</v>
      </c>
      <c r="T29" s="8">
        <v>1</v>
      </c>
      <c r="U29" s="8" t="s">
        <v>9</v>
      </c>
      <c r="V29" s="8">
        <v>0</v>
      </c>
      <c r="W29" s="8">
        <v>0</v>
      </c>
      <c r="X29" s="8">
        <v>0</v>
      </c>
      <c r="Y29" s="8">
        <v>1</v>
      </c>
      <c r="Z29" s="8">
        <v>0</v>
      </c>
      <c r="AA29" s="8" t="s">
        <v>9</v>
      </c>
      <c r="AB29" s="8" t="s">
        <v>9</v>
      </c>
      <c r="AC29" s="8">
        <v>1</v>
      </c>
      <c r="AD29" s="8">
        <v>0</v>
      </c>
      <c r="AE29" s="8">
        <v>0</v>
      </c>
      <c r="AF29" s="8">
        <v>0</v>
      </c>
      <c r="AG29" s="8">
        <v>0</v>
      </c>
      <c r="AH29" s="8">
        <v>4</v>
      </c>
      <c r="AI29" s="26">
        <f t="shared" si="8"/>
        <v>11</v>
      </c>
      <c r="AJ29" s="87"/>
    </row>
    <row r="30" spans="1:36" x14ac:dyDescent="0.25">
      <c r="A30" s="106" t="s">
        <v>39</v>
      </c>
      <c r="B30" s="124" t="s">
        <v>18</v>
      </c>
      <c r="C30" s="29" t="s">
        <v>48</v>
      </c>
      <c r="D30" s="7" t="s">
        <v>9</v>
      </c>
      <c r="E30" s="7">
        <v>2</v>
      </c>
      <c r="F30" s="7" t="s">
        <v>9</v>
      </c>
      <c r="G30" s="7" t="s">
        <v>9</v>
      </c>
      <c r="H30" s="7">
        <v>10</v>
      </c>
      <c r="I30" s="7">
        <v>12</v>
      </c>
      <c r="J30" s="7">
        <v>20</v>
      </c>
      <c r="K30" s="7">
        <v>6</v>
      </c>
      <c r="L30" s="7">
        <v>4</v>
      </c>
      <c r="M30" s="7">
        <v>21</v>
      </c>
      <c r="N30" s="7" t="s">
        <v>9</v>
      </c>
      <c r="O30" s="7">
        <v>3</v>
      </c>
      <c r="P30" s="7">
        <v>7</v>
      </c>
      <c r="Q30" s="7">
        <v>2</v>
      </c>
      <c r="R30" s="7">
        <v>8</v>
      </c>
      <c r="S30" s="7" t="s">
        <v>9</v>
      </c>
      <c r="T30" s="7" t="s">
        <v>9</v>
      </c>
      <c r="U30" s="7" t="s">
        <v>9</v>
      </c>
      <c r="V30" s="7">
        <v>8</v>
      </c>
      <c r="W30" s="7">
        <v>8</v>
      </c>
      <c r="X30" s="7">
        <v>29</v>
      </c>
      <c r="Y30" s="7">
        <v>2</v>
      </c>
      <c r="Z30" s="7">
        <v>5</v>
      </c>
      <c r="AA30" s="7" t="s">
        <v>9</v>
      </c>
      <c r="AB30" s="7" t="s">
        <v>9</v>
      </c>
      <c r="AC30" s="7">
        <v>15</v>
      </c>
      <c r="AD30" s="7">
        <v>17</v>
      </c>
      <c r="AE30" s="7">
        <v>22</v>
      </c>
      <c r="AF30" s="7">
        <v>22</v>
      </c>
      <c r="AG30" s="7">
        <v>43</v>
      </c>
      <c r="AH30" s="7" t="s">
        <v>9</v>
      </c>
      <c r="AI30" s="27">
        <f t="shared" ref="AI30:AI35" si="9">SUM(D30:AH30)</f>
        <v>266</v>
      </c>
      <c r="AJ30" s="85">
        <f>SUM(AI30:AI35)</f>
        <v>787</v>
      </c>
    </row>
    <row r="31" spans="1:36" x14ac:dyDescent="0.25">
      <c r="A31" s="72"/>
      <c r="B31" s="125"/>
      <c r="C31" s="32" t="s">
        <v>50</v>
      </c>
      <c r="D31" s="14" t="s">
        <v>9</v>
      </c>
      <c r="E31" s="14">
        <v>20</v>
      </c>
      <c r="F31" s="14" t="s">
        <v>9</v>
      </c>
      <c r="G31" s="14" t="s">
        <v>9</v>
      </c>
      <c r="H31" s="14">
        <v>10</v>
      </c>
      <c r="I31" s="14">
        <v>27</v>
      </c>
      <c r="J31" s="14">
        <v>20</v>
      </c>
      <c r="K31" s="14">
        <v>7</v>
      </c>
      <c r="L31" s="14">
        <v>20</v>
      </c>
      <c r="M31" s="14">
        <v>8</v>
      </c>
      <c r="N31" s="14" t="s">
        <v>9</v>
      </c>
      <c r="O31" s="14">
        <v>14</v>
      </c>
      <c r="P31" s="14">
        <v>9</v>
      </c>
      <c r="Q31" s="14">
        <v>26</v>
      </c>
      <c r="R31" s="14">
        <v>11</v>
      </c>
      <c r="S31" s="14" t="s">
        <v>9</v>
      </c>
      <c r="T31" s="14" t="s">
        <v>9</v>
      </c>
      <c r="U31" s="14" t="s">
        <v>9</v>
      </c>
      <c r="V31" s="14">
        <v>21</v>
      </c>
      <c r="W31" s="14">
        <v>10</v>
      </c>
      <c r="X31" s="14">
        <v>10</v>
      </c>
      <c r="Y31" s="14">
        <v>18</v>
      </c>
      <c r="Z31" s="14">
        <v>7</v>
      </c>
      <c r="AA31" s="14" t="s">
        <v>9</v>
      </c>
      <c r="AB31" s="14" t="s">
        <v>9</v>
      </c>
      <c r="AC31" s="14">
        <v>9</v>
      </c>
      <c r="AD31" s="14">
        <v>6</v>
      </c>
      <c r="AE31" s="14">
        <v>5</v>
      </c>
      <c r="AF31" s="14">
        <v>12</v>
      </c>
      <c r="AG31" s="14">
        <v>4</v>
      </c>
      <c r="AH31" s="14" t="s">
        <v>9</v>
      </c>
      <c r="AI31" s="28">
        <f t="shared" si="9"/>
        <v>274</v>
      </c>
      <c r="AJ31" s="122"/>
    </row>
    <row r="32" spans="1:36" x14ac:dyDescent="0.25">
      <c r="A32" s="72"/>
      <c r="B32" s="125"/>
      <c r="C32" s="32" t="s">
        <v>49</v>
      </c>
      <c r="D32" s="14" t="s">
        <v>9</v>
      </c>
      <c r="E32" s="14">
        <v>0</v>
      </c>
      <c r="F32" s="14" t="s">
        <v>9</v>
      </c>
      <c r="G32" s="14" t="s">
        <v>9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 t="s">
        <v>9</v>
      </c>
      <c r="O32" s="14">
        <v>0</v>
      </c>
      <c r="P32" s="14">
        <v>0</v>
      </c>
      <c r="Q32" s="14">
        <v>0</v>
      </c>
      <c r="R32" s="14">
        <v>0</v>
      </c>
      <c r="S32" s="14" t="s">
        <v>9</v>
      </c>
      <c r="T32" s="14" t="s">
        <v>9</v>
      </c>
      <c r="U32" s="14" t="s">
        <v>9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 t="s">
        <v>9</v>
      </c>
      <c r="AB32" s="14" t="s">
        <v>9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9</v>
      </c>
      <c r="AI32" s="28">
        <f t="shared" si="9"/>
        <v>0</v>
      </c>
      <c r="AJ32" s="122"/>
    </row>
    <row r="33" spans="1:36" x14ac:dyDescent="0.25">
      <c r="A33" s="72"/>
      <c r="B33" s="126"/>
      <c r="C33" s="32" t="s">
        <v>51</v>
      </c>
      <c r="D33" s="14" t="s">
        <v>9</v>
      </c>
      <c r="E33" s="14">
        <v>1</v>
      </c>
      <c r="F33" s="14" t="s">
        <v>9</v>
      </c>
      <c r="G33" s="14" t="s">
        <v>9</v>
      </c>
      <c r="H33" s="14">
        <v>0</v>
      </c>
      <c r="I33" s="14">
        <v>2</v>
      </c>
      <c r="J33" s="14">
        <v>0</v>
      </c>
      <c r="K33" s="14">
        <v>2</v>
      </c>
      <c r="L33" s="14">
        <v>8</v>
      </c>
      <c r="M33" s="14">
        <v>2</v>
      </c>
      <c r="N33" s="14" t="s">
        <v>9</v>
      </c>
      <c r="O33" s="14">
        <v>3</v>
      </c>
      <c r="P33" s="14">
        <v>5</v>
      </c>
      <c r="Q33" s="14">
        <v>6</v>
      </c>
      <c r="R33" s="14">
        <v>5</v>
      </c>
      <c r="S33" s="14" t="s">
        <v>9</v>
      </c>
      <c r="T33" s="14" t="s">
        <v>9</v>
      </c>
      <c r="U33" s="14" t="s">
        <v>9</v>
      </c>
      <c r="V33" s="14">
        <v>0</v>
      </c>
      <c r="W33" s="14">
        <v>5</v>
      </c>
      <c r="X33" s="14">
        <v>2</v>
      </c>
      <c r="Y33" s="14">
        <v>2</v>
      </c>
      <c r="Z33" s="14">
        <v>7</v>
      </c>
      <c r="AA33" s="14" t="s">
        <v>9</v>
      </c>
      <c r="AB33" s="14" t="s">
        <v>9</v>
      </c>
      <c r="AC33" s="14">
        <v>0</v>
      </c>
      <c r="AD33" s="14">
        <v>8</v>
      </c>
      <c r="AE33" s="14">
        <v>4</v>
      </c>
      <c r="AF33" s="14">
        <v>5</v>
      </c>
      <c r="AG33" s="14">
        <v>1</v>
      </c>
      <c r="AH33" s="14" t="s">
        <v>9</v>
      </c>
      <c r="AI33" s="28">
        <f t="shared" si="9"/>
        <v>68</v>
      </c>
      <c r="AJ33" s="122"/>
    </row>
    <row r="34" spans="1:36" x14ac:dyDescent="0.25">
      <c r="A34" s="72"/>
      <c r="B34" s="127" t="s">
        <v>45</v>
      </c>
      <c r="C34" s="30" t="s">
        <v>46</v>
      </c>
      <c r="D34" s="3" t="s">
        <v>9</v>
      </c>
      <c r="E34" s="3">
        <v>10</v>
      </c>
      <c r="F34" s="3" t="s">
        <v>9</v>
      </c>
      <c r="G34" s="3" t="s">
        <v>9</v>
      </c>
      <c r="H34" s="3">
        <v>5</v>
      </c>
      <c r="I34" s="3">
        <v>10</v>
      </c>
      <c r="J34" s="3">
        <v>5</v>
      </c>
      <c r="K34" s="3">
        <v>4</v>
      </c>
      <c r="L34" s="3">
        <v>7</v>
      </c>
      <c r="M34" s="3">
        <v>9</v>
      </c>
      <c r="N34" s="3" t="s">
        <v>9</v>
      </c>
      <c r="O34" s="3">
        <v>9</v>
      </c>
      <c r="P34" s="3">
        <v>13</v>
      </c>
      <c r="Q34" s="3">
        <v>5</v>
      </c>
      <c r="R34" s="3">
        <v>10</v>
      </c>
      <c r="S34" s="3" t="s">
        <v>9</v>
      </c>
      <c r="T34" s="3" t="s">
        <v>9</v>
      </c>
      <c r="U34" s="3" t="s">
        <v>9</v>
      </c>
      <c r="V34" s="3">
        <v>5</v>
      </c>
      <c r="W34" s="3">
        <v>13</v>
      </c>
      <c r="X34" s="3">
        <v>17</v>
      </c>
      <c r="Y34" s="3">
        <v>2</v>
      </c>
      <c r="Z34" s="3">
        <v>11</v>
      </c>
      <c r="AA34" s="3" t="s">
        <v>9</v>
      </c>
      <c r="AB34" s="3" t="s">
        <v>9</v>
      </c>
      <c r="AC34" s="3">
        <v>2</v>
      </c>
      <c r="AD34" s="3">
        <v>15</v>
      </c>
      <c r="AE34" s="3">
        <v>12</v>
      </c>
      <c r="AF34" s="3">
        <v>7</v>
      </c>
      <c r="AG34" s="3">
        <v>8</v>
      </c>
      <c r="AH34" s="3" t="s">
        <v>9</v>
      </c>
      <c r="AI34" s="28">
        <f t="shared" si="9"/>
        <v>179</v>
      </c>
      <c r="AJ34" s="86"/>
    </row>
    <row r="35" spans="1:36" ht="13.5" thickBot="1" x14ac:dyDescent="0.3">
      <c r="A35" s="107"/>
      <c r="B35" s="128"/>
      <c r="C35" s="31" t="s">
        <v>47</v>
      </c>
      <c r="D35" s="8" t="s">
        <v>9</v>
      </c>
      <c r="E35" s="8">
        <v>0</v>
      </c>
      <c r="F35" s="8" t="s">
        <v>9</v>
      </c>
      <c r="G35" s="8" t="s">
        <v>9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 t="s">
        <v>9</v>
      </c>
      <c r="O35" s="8">
        <v>0</v>
      </c>
      <c r="P35" s="8">
        <v>0</v>
      </c>
      <c r="Q35" s="8">
        <v>0</v>
      </c>
      <c r="R35" s="8">
        <v>0</v>
      </c>
      <c r="S35" s="8" t="s">
        <v>9</v>
      </c>
      <c r="T35" s="8" t="s">
        <v>9</v>
      </c>
      <c r="U35" s="8" t="s">
        <v>9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 t="s">
        <v>9</v>
      </c>
      <c r="AB35" s="8" t="s">
        <v>9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9</v>
      </c>
      <c r="AI35" s="26">
        <f t="shared" si="9"/>
        <v>0</v>
      </c>
      <c r="AJ35" s="87"/>
    </row>
    <row r="36" spans="1:36" x14ac:dyDescent="0.25">
      <c r="A36" s="89" t="s">
        <v>32</v>
      </c>
      <c r="B36" s="124" t="s">
        <v>18</v>
      </c>
      <c r="C36" s="29" t="s">
        <v>48</v>
      </c>
      <c r="D36" s="7" t="s">
        <v>9</v>
      </c>
      <c r="E36" s="7">
        <f>26+6</f>
        <v>32</v>
      </c>
      <c r="F36" s="7" t="s">
        <v>9</v>
      </c>
      <c r="G36" s="7" t="s">
        <v>9</v>
      </c>
      <c r="H36" s="7">
        <v>13</v>
      </c>
      <c r="I36" s="7">
        <v>18</v>
      </c>
      <c r="J36" s="7">
        <v>19</v>
      </c>
      <c r="K36" s="7">
        <v>2</v>
      </c>
      <c r="L36" s="7">
        <v>4</v>
      </c>
      <c r="M36" s="7">
        <v>20</v>
      </c>
      <c r="N36" s="7" t="s">
        <v>9</v>
      </c>
      <c r="O36" s="7">
        <v>0</v>
      </c>
      <c r="P36" s="7">
        <v>0</v>
      </c>
      <c r="Q36" s="7">
        <v>10</v>
      </c>
      <c r="R36" s="20">
        <v>1</v>
      </c>
      <c r="S36" s="7">
        <v>15</v>
      </c>
      <c r="T36" s="7" t="s">
        <v>9</v>
      </c>
      <c r="U36" s="7" t="s">
        <v>9</v>
      </c>
      <c r="V36" s="7" t="s">
        <v>9</v>
      </c>
      <c r="W36" s="20">
        <v>15</v>
      </c>
      <c r="X36" s="20">
        <v>2</v>
      </c>
      <c r="Y36" s="7">
        <v>15</v>
      </c>
      <c r="Z36" s="7">
        <v>1</v>
      </c>
      <c r="AA36" s="14">
        <v>0</v>
      </c>
      <c r="AB36" s="7" t="s">
        <v>9</v>
      </c>
      <c r="AC36" s="7">
        <v>18</v>
      </c>
      <c r="AD36" s="7">
        <v>20</v>
      </c>
      <c r="AE36" s="7">
        <v>32</v>
      </c>
      <c r="AF36" s="14">
        <v>32</v>
      </c>
      <c r="AG36" s="14">
        <v>21</v>
      </c>
      <c r="AH36" s="7" t="s">
        <v>9</v>
      </c>
      <c r="AI36" s="27">
        <f t="shared" ref="AI36:AI41" si="10">SUM(D36:AH36)</f>
        <v>290</v>
      </c>
      <c r="AJ36" s="85">
        <f>SUM(AI36:AI41)</f>
        <v>663</v>
      </c>
    </row>
    <row r="37" spans="1:36" x14ac:dyDescent="0.25">
      <c r="A37" s="121"/>
      <c r="B37" s="125"/>
      <c r="C37" s="32" t="s">
        <v>50</v>
      </c>
      <c r="D37" s="14" t="s">
        <v>9</v>
      </c>
      <c r="E37" s="14">
        <v>5</v>
      </c>
      <c r="F37" s="14" t="s">
        <v>9</v>
      </c>
      <c r="G37" s="14" t="s">
        <v>9</v>
      </c>
      <c r="H37" s="14">
        <v>6</v>
      </c>
      <c r="I37" s="14">
        <v>6</v>
      </c>
      <c r="J37" s="14">
        <v>4</v>
      </c>
      <c r="K37" s="14">
        <v>4</v>
      </c>
      <c r="L37" s="14">
        <v>11</v>
      </c>
      <c r="M37" s="14">
        <v>7</v>
      </c>
      <c r="N37" s="14" t="s">
        <v>9</v>
      </c>
      <c r="O37" s="14">
        <v>10</v>
      </c>
      <c r="P37" s="14">
        <v>10</v>
      </c>
      <c r="Q37" s="14">
        <v>7</v>
      </c>
      <c r="R37" s="14">
        <v>7</v>
      </c>
      <c r="S37" s="14">
        <v>11</v>
      </c>
      <c r="T37" s="14" t="s">
        <v>9</v>
      </c>
      <c r="U37" s="14" t="s">
        <v>9</v>
      </c>
      <c r="V37" s="14" t="s">
        <v>9</v>
      </c>
      <c r="W37" s="14">
        <v>3</v>
      </c>
      <c r="X37" s="14">
        <v>10</v>
      </c>
      <c r="Y37" s="14">
        <v>6</v>
      </c>
      <c r="Z37" s="14">
        <v>11</v>
      </c>
      <c r="AA37" s="3">
        <v>3</v>
      </c>
      <c r="AB37" s="14" t="s">
        <v>9</v>
      </c>
      <c r="AC37" s="14">
        <v>9</v>
      </c>
      <c r="AD37" s="14">
        <v>9</v>
      </c>
      <c r="AE37" s="14">
        <v>5</v>
      </c>
      <c r="AF37" s="14">
        <v>16</v>
      </c>
      <c r="AG37" s="14">
        <v>12</v>
      </c>
      <c r="AH37" s="14" t="s">
        <v>9</v>
      </c>
      <c r="AI37" s="28">
        <f t="shared" si="10"/>
        <v>172</v>
      </c>
      <c r="AJ37" s="122"/>
    </row>
    <row r="38" spans="1:36" x14ac:dyDescent="0.25">
      <c r="A38" s="121"/>
      <c r="B38" s="125"/>
      <c r="C38" s="32" t="s">
        <v>49</v>
      </c>
      <c r="D38" s="14" t="s">
        <v>9</v>
      </c>
      <c r="E38" s="14">
        <v>0</v>
      </c>
      <c r="F38" s="14" t="s">
        <v>9</v>
      </c>
      <c r="G38" s="14" t="s">
        <v>9</v>
      </c>
      <c r="H38" s="14">
        <v>0</v>
      </c>
      <c r="I38" s="14">
        <v>0</v>
      </c>
      <c r="J38" s="14">
        <v>0</v>
      </c>
      <c r="K38" s="14">
        <v>0</v>
      </c>
      <c r="L38" s="14">
        <v>4</v>
      </c>
      <c r="M38" s="14">
        <v>0</v>
      </c>
      <c r="N38" s="14" t="s">
        <v>9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 t="s">
        <v>9</v>
      </c>
      <c r="U38" s="14" t="s">
        <v>9</v>
      </c>
      <c r="V38" s="14" t="s">
        <v>9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 t="s">
        <v>9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 t="s">
        <v>9</v>
      </c>
      <c r="AI38" s="28">
        <f t="shared" si="10"/>
        <v>4</v>
      </c>
      <c r="AJ38" s="122"/>
    </row>
    <row r="39" spans="1:36" x14ac:dyDescent="0.25">
      <c r="A39" s="121"/>
      <c r="B39" s="126"/>
      <c r="C39" s="32" t="s">
        <v>51</v>
      </c>
      <c r="D39" s="14" t="s">
        <v>9</v>
      </c>
      <c r="E39" s="14">
        <v>3</v>
      </c>
      <c r="F39" s="14" t="s">
        <v>9</v>
      </c>
      <c r="G39" s="14" t="s">
        <v>9</v>
      </c>
      <c r="H39" s="14">
        <v>0</v>
      </c>
      <c r="I39" s="14">
        <v>1</v>
      </c>
      <c r="J39" s="14">
        <v>5</v>
      </c>
      <c r="K39" s="14">
        <v>2</v>
      </c>
      <c r="L39" s="14">
        <v>0</v>
      </c>
      <c r="M39" s="14">
        <v>1</v>
      </c>
      <c r="N39" s="14" t="s">
        <v>9</v>
      </c>
      <c r="O39" s="14">
        <v>1</v>
      </c>
      <c r="P39" s="14">
        <v>3</v>
      </c>
      <c r="Q39" s="14">
        <v>2</v>
      </c>
      <c r="R39" s="14">
        <v>1</v>
      </c>
      <c r="S39" s="14">
        <v>1</v>
      </c>
      <c r="T39" s="14" t="s">
        <v>9</v>
      </c>
      <c r="U39" s="14" t="s">
        <v>9</v>
      </c>
      <c r="V39" s="14" t="s">
        <v>9</v>
      </c>
      <c r="W39" s="14">
        <v>1</v>
      </c>
      <c r="X39" s="14">
        <v>3</v>
      </c>
      <c r="Y39" s="14">
        <v>0</v>
      </c>
      <c r="Z39" s="14">
        <v>0</v>
      </c>
      <c r="AA39" s="14">
        <v>2</v>
      </c>
      <c r="AB39" s="14" t="s">
        <v>9</v>
      </c>
      <c r="AC39" s="14">
        <v>0</v>
      </c>
      <c r="AD39" s="14">
        <v>1</v>
      </c>
      <c r="AE39" s="14">
        <v>2</v>
      </c>
      <c r="AF39" s="14">
        <v>4</v>
      </c>
      <c r="AG39" s="14">
        <v>1</v>
      </c>
      <c r="AH39" s="14" t="s">
        <v>9</v>
      </c>
      <c r="AI39" s="28">
        <f t="shared" si="10"/>
        <v>34</v>
      </c>
      <c r="AJ39" s="122"/>
    </row>
    <row r="40" spans="1:36" x14ac:dyDescent="0.25">
      <c r="A40" s="90"/>
      <c r="B40" s="127" t="s">
        <v>45</v>
      </c>
      <c r="C40" s="30" t="s">
        <v>46</v>
      </c>
      <c r="D40" s="3" t="s">
        <v>9</v>
      </c>
      <c r="E40" s="3">
        <v>7</v>
      </c>
      <c r="F40" s="3" t="s">
        <v>9</v>
      </c>
      <c r="G40" s="3" t="s">
        <v>9</v>
      </c>
      <c r="H40" s="3">
        <v>6</v>
      </c>
      <c r="I40" s="3">
        <v>10</v>
      </c>
      <c r="J40" s="3">
        <v>10</v>
      </c>
      <c r="K40" s="3">
        <v>4</v>
      </c>
      <c r="L40" s="3">
        <v>6</v>
      </c>
      <c r="M40" s="3">
        <v>3</v>
      </c>
      <c r="N40" s="3" t="s">
        <v>9</v>
      </c>
      <c r="O40" s="3">
        <v>7</v>
      </c>
      <c r="P40" s="3">
        <v>8</v>
      </c>
      <c r="Q40" s="3">
        <v>14</v>
      </c>
      <c r="R40" s="17">
        <v>8</v>
      </c>
      <c r="S40" s="3">
        <v>9</v>
      </c>
      <c r="T40" s="3" t="s">
        <v>9</v>
      </c>
      <c r="U40" s="3" t="s">
        <v>9</v>
      </c>
      <c r="V40" s="3" t="s">
        <v>9</v>
      </c>
      <c r="W40" s="17">
        <v>9</v>
      </c>
      <c r="X40" s="17">
        <v>5</v>
      </c>
      <c r="Y40" s="3">
        <v>6</v>
      </c>
      <c r="Z40" s="3">
        <v>4</v>
      </c>
      <c r="AA40" s="3">
        <v>5</v>
      </c>
      <c r="AB40" s="3" t="s">
        <v>9</v>
      </c>
      <c r="AC40" s="3">
        <v>2</v>
      </c>
      <c r="AD40" s="3">
        <v>6</v>
      </c>
      <c r="AE40" s="3">
        <v>7</v>
      </c>
      <c r="AF40" s="3">
        <v>6</v>
      </c>
      <c r="AG40" s="3">
        <v>11</v>
      </c>
      <c r="AH40" s="3" t="s">
        <v>9</v>
      </c>
      <c r="AI40" s="28">
        <f t="shared" si="10"/>
        <v>153</v>
      </c>
      <c r="AJ40" s="86"/>
    </row>
    <row r="41" spans="1:36" ht="13.5" thickBot="1" x14ac:dyDescent="0.3">
      <c r="A41" s="91"/>
      <c r="B41" s="128"/>
      <c r="C41" s="31" t="s">
        <v>47</v>
      </c>
      <c r="D41" s="8" t="s">
        <v>9</v>
      </c>
      <c r="E41" s="8">
        <v>2</v>
      </c>
      <c r="F41" s="8" t="s">
        <v>9</v>
      </c>
      <c r="G41" s="8" t="s">
        <v>9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 t="s">
        <v>9</v>
      </c>
      <c r="O41" s="8">
        <v>0</v>
      </c>
      <c r="P41" s="8">
        <v>0</v>
      </c>
      <c r="Q41" s="8">
        <v>0</v>
      </c>
      <c r="R41" s="21">
        <v>0</v>
      </c>
      <c r="S41" s="8">
        <v>0</v>
      </c>
      <c r="T41" s="8" t="s">
        <v>9</v>
      </c>
      <c r="U41" s="8" t="s">
        <v>9</v>
      </c>
      <c r="V41" s="8" t="s">
        <v>9</v>
      </c>
      <c r="W41" s="21">
        <v>0</v>
      </c>
      <c r="X41" s="21">
        <v>0</v>
      </c>
      <c r="Y41" s="8">
        <v>0</v>
      </c>
      <c r="Z41" s="8">
        <v>1</v>
      </c>
      <c r="AA41" s="8">
        <v>1</v>
      </c>
      <c r="AB41" s="8" t="s">
        <v>9</v>
      </c>
      <c r="AC41" s="8">
        <v>3</v>
      </c>
      <c r="AD41" s="8">
        <v>0</v>
      </c>
      <c r="AE41" s="8">
        <v>2</v>
      </c>
      <c r="AF41" s="8">
        <v>1</v>
      </c>
      <c r="AG41" s="8">
        <v>0</v>
      </c>
      <c r="AH41" s="8" t="s">
        <v>9</v>
      </c>
      <c r="AI41" s="26">
        <f t="shared" si="10"/>
        <v>10</v>
      </c>
      <c r="AJ41" s="87"/>
    </row>
    <row r="42" spans="1:36" x14ac:dyDescent="0.25">
      <c r="A42" s="124" t="s">
        <v>52</v>
      </c>
      <c r="B42" s="124" t="s">
        <v>18</v>
      </c>
      <c r="C42" s="29" t="s">
        <v>48</v>
      </c>
      <c r="D42" s="7">
        <v>5</v>
      </c>
      <c r="E42" s="7">
        <v>13</v>
      </c>
      <c r="F42" s="7">
        <v>30</v>
      </c>
      <c r="G42" s="7" t="s">
        <v>9</v>
      </c>
      <c r="H42" s="7">
        <v>16</v>
      </c>
      <c r="I42" s="7">
        <v>3</v>
      </c>
      <c r="J42" s="7">
        <v>15</v>
      </c>
      <c r="K42" s="7">
        <v>7</v>
      </c>
      <c r="L42" s="7">
        <v>6</v>
      </c>
      <c r="M42" s="7" t="s">
        <v>9</v>
      </c>
      <c r="N42" s="7" t="s">
        <v>9</v>
      </c>
      <c r="O42" s="7">
        <v>20</v>
      </c>
      <c r="P42" s="7">
        <v>1</v>
      </c>
      <c r="Q42" s="7">
        <v>2</v>
      </c>
      <c r="R42" s="7">
        <v>4</v>
      </c>
      <c r="S42" s="7">
        <v>1</v>
      </c>
      <c r="T42" s="7">
        <v>7</v>
      </c>
      <c r="U42" s="7" t="s">
        <v>9</v>
      </c>
      <c r="V42" s="7">
        <v>14</v>
      </c>
      <c r="W42" s="7">
        <v>9</v>
      </c>
      <c r="X42" s="7">
        <v>6</v>
      </c>
      <c r="Y42" s="7">
        <v>21</v>
      </c>
      <c r="Z42" s="7">
        <v>1</v>
      </c>
      <c r="AA42" s="7" t="s">
        <v>9</v>
      </c>
      <c r="AB42" s="7" t="s">
        <v>9</v>
      </c>
      <c r="AC42" s="7">
        <v>10</v>
      </c>
      <c r="AD42" s="7">
        <v>14</v>
      </c>
      <c r="AE42" s="7">
        <v>30</v>
      </c>
      <c r="AF42" s="7">
        <v>18</v>
      </c>
      <c r="AG42" s="7">
        <v>33</v>
      </c>
      <c r="AH42" s="7">
        <v>7</v>
      </c>
      <c r="AI42" s="27">
        <f t="shared" ref="AI42:AI47" si="11">SUM(D42:AH42)</f>
        <v>293</v>
      </c>
      <c r="AJ42" s="85">
        <f>SUM(AI42:AI47)</f>
        <v>620</v>
      </c>
    </row>
    <row r="43" spans="1:36" ht="15" customHeight="1" x14ac:dyDescent="0.25">
      <c r="A43" s="125"/>
      <c r="B43" s="125"/>
      <c r="C43" s="32" t="s">
        <v>50</v>
      </c>
      <c r="D43" s="14">
        <v>12</v>
      </c>
      <c r="E43" s="14">
        <v>0</v>
      </c>
      <c r="F43" s="14">
        <v>2</v>
      </c>
      <c r="G43" s="14" t="s">
        <v>9</v>
      </c>
      <c r="H43" s="14">
        <v>4</v>
      </c>
      <c r="I43" s="14">
        <v>5</v>
      </c>
      <c r="J43" s="14">
        <v>7</v>
      </c>
      <c r="K43" s="14">
        <v>3</v>
      </c>
      <c r="L43" s="14">
        <v>3</v>
      </c>
      <c r="M43" s="14" t="s">
        <v>9</v>
      </c>
      <c r="N43" s="14" t="s">
        <v>9</v>
      </c>
      <c r="O43" s="14">
        <v>3</v>
      </c>
      <c r="P43" s="14">
        <v>1</v>
      </c>
      <c r="Q43" s="14">
        <v>4</v>
      </c>
      <c r="R43" s="14">
        <v>2</v>
      </c>
      <c r="S43" s="14">
        <v>2</v>
      </c>
      <c r="T43" s="14">
        <v>1</v>
      </c>
      <c r="U43" s="14" t="s">
        <v>9</v>
      </c>
      <c r="V43" s="14">
        <v>1</v>
      </c>
      <c r="W43" s="14">
        <v>3</v>
      </c>
      <c r="X43" s="14">
        <v>3</v>
      </c>
      <c r="Y43" s="14">
        <v>4</v>
      </c>
      <c r="Z43" s="14">
        <v>3</v>
      </c>
      <c r="AA43" s="14" t="s">
        <v>9</v>
      </c>
      <c r="AB43" s="14" t="s">
        <v>9</v>
      </c>
      <c r="AC43" s="14">
        <v>2</v>
      </c>
      <c r="AD43" s="14">
        <v>1</v>
      </c>
      <c r="AE43" s="14">
        <v>3</v>
      </c>
      <c r="AF43" s="14">
        <v>8</v>
      </c>
      <c r="AG43" s="14">
        <v>1</v>
      </c>
      <c r="AH43" s="14">
        <v>10</v>
      </c>
      <c r="AI43" s="28">
        <f t="shared" si="11"/>
        <v>88</v>
      </c>
      <c r="AJ43" s="122"/>
    </row>
    <row r="44" spans="1:36" ht="15" customHeight="1" x14ac:dyDescent="0.25">
      <c r="A44" s="125"/>
      <c r="B44" s="125"/>
      <c r="C44" s="32" t="s">
        <v>49</v>
      </c>
      <c r="D44" s="14">
        <v>0</v>
      </c>
      <c r="E44" s="14">
        <v>0</v>
      </c>
      <c r="F44" s="14">
        <v>0</v>
      </c>
      <c r="G44" s="14" t="s">
        <v>9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 t="s">
        <v>9</v>
      </c>
      <c r="N44" s="14" t="s">
        <v>9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 t="s">
        <v>9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 t="s">
        <v>9</v>
      </c>
      <c r="AB44" s="14" t="s">
        <v>9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28">
        <f t="shared" si="11"/>
        <v>0</v>
      </c>
      <c r="AJ44" s="122"/>
    </row>
    <row r="45" spans="1:36" ht="15" customHeight="1" x14ac:dyDescent="0.25">
      <c r="A45" s="125"/>
      <c r="B45" s="126"/>
      <c r="C45" s="32" t="s">
        <v>51</v>
      </c>
      <c r="D45" s="14">
        <v>7</v>
      </c>
      <c r="E45" s="14">
        <v>4</v>
      </c>
      <c r="F45" s="14">
        <v>0</v>
      </c>
      <c r="G45" s="14" t="s">
        <v>9</v>
      </c>
      <c r="H45" s="14">
        <v>1</v>
      </c>
      <c r="I45" s="14">
        <v>2</v>
      </c>
      <c r="J45" s="14">
        <v>1</v>
      </c>
      <c r="K45" s="14">
        <v>0</v>
      </c>
      <c r="L45" s="14">
        <v>2</v>
      </c>
      <c r="M45" s="14" t="s">
        <v>9</v>
      </c>
      <c r="N45" s="14" t="s">
        <v>9</v>
      </c>
      <c r="O45" s="14">
        <v>2</v>
      </c>
      <c r="P45" s="14">
        <v>2</v>
      </c>
      <c r="Q45" s="14">
        <v>3</v>
      </c>
      <c r="R45" s="14">
        <v>0</v>
      </c>
      <c r="S45" s="14">
        <v>0</v>
      </c>
      <c r="T45" s="14">
        <v>2</v>
      </c>
      <c r="U45" s="14" t="s">
        <v>9</v>
      </c>
      <c r="V45" s="14">
        <v>0</v>
      </c>
      <c r="W45" s="14">
        <v>1</v>
      </c>
      <c r="X45" s="14">
        <v>1</v>
      </c>
      <c r="Y45" s="14">
        <v>5</v>
      </c>
      <c r="Z45" s="14">
        <v>1</v>
      </c>
      <c r="AA45" s="14" t="s">
        <v>9</v>
      </c>
      <c r="AB45" s="14" t="s">
        <v>9</v>
      </c>
      <c r="AC45" s="14">
        <v>0</v>
      </c>
      <c r="AD45" s="14">
        <v>3</v>
      </c>
      <c r="AE45" s="14">
        <v>1</v>
      </c>
      <c r="AF45" s="14">
        <v>3</v>
      </c>
      <c r="AG45" s="14">
        <v>0</v>
      </c>
      <c r="AH45" s="14">
        <v>3</v>
      </c>
      <c r="AI45" s="28">
        <f t="shared" si="11"/>
        <v>44</v>
      </c>
      <c r="AJ45" s="122"/>
    </row>
    <row r="46" spans="1:36" x14ac:dyDescent="0.25">
      <c r="A46" s="125"/>
      <c r="B46" s="127" t="s">
        <v>45</v>
      </c>
      <c r="C46" s="30" t="s">
        <v>46</v>
      </c>
      <c r="D46" s="3">
        <v>22</v>
      </c>
      <c r="E46" s="3">
        <v>8</v>
      </c>
      <c r="F46" s="3">
        <v>2</v>
      </c>
      <c r="G46" s="3" t="s">
        <v>9</v>
      </c>
      <c r="H46" s="3">
        <v>2</v>
      </c>
      <c r="I46" s="3">
        <v>9</v>
      </c>
      <c r="J46" s="3">
        <v>4</v>
      </c>
      <c r="K46" s="3">
        <v>0</v>
      </c>
      <c r="L46" s="3">
        <v>5</v>
      </c>
      <c r="M46" s="3" t="s">
        <v>9</v>
      </c>
      <c r="N46" s="3" t="s">
        <v>9</v>
      </c>
      <c r="O46" s="3">
        <v>3</v>
      </c>
      <c r="P46" s="3">
        <v>3</v>
      </c>
      <c r="Q46" s="3">
        <v>10</v>
      </c>
      <c r="R46" s="3">
        <v>2</v>
      </c>
      <c r="S46" s="3">
        <v>3</v>
      </c>
      <c r="T46" s="3">
        <v>14</v>
      </c>
      <c r="U46" s="3" t="s">
        <v>9</v>
      </c>
      <c r="V46" s="3">
        <v>2</v>
      </c>
      <c r="W46" s="3">
        <v>7</v>
      </c>
      <c r="X46" s="3">
        <v>5</v>
      </c>
      <c r="Y46" s="3">
        <v>19</v>
      </c>
      <c r="Z46" s="3">
        <v>5</v>
      </c>
      <c r="AA46" s="3" t="s">
        <v>9</v>
      </c>
      <c r="AB46" s="3" t="s">
        <v>9</v>
      </c>
      <c r="AC46" s="3">
        <v>1</v>
      </c>
      <c r="AD46" s="3">
        <v>11</v>
      </c>
      <c r="AE46" s="3">
        <v>6</v>
      </c>
      <c r="AF46" s="3">
        <v>6</v>
      </c>
      <c r="AG46" s="3">
        <v>23</v>
      </c>
      <c r="AH46" s="3">
        <v>11</v>
      </c>
      <c r="AI46" s="28">
        <f t="shared" si="11"/>
        <v>183</v>
      </c>
      <c r="AJ46" s="86"/>
    </row>
    <row r="47" spans="1:36" ht="13.5" thickBot="1" x14ac:dyDescent="0.3">
      <c r="A47" s="128"/>
      <c r="B47" s="128"/>
      <c r="C47" s="31" t="s">
        <v>47</v>
      </c>
      <c r="D47" s="8">
        <v>0</v>
      </c>
      <c r="E47" s="8">
        <v>0</v>
      </c>
      <c r="F47" s="8">
        <v>0</v>
      </c>
      <c r="G47" s="8" t="s">
        <v>9</v>
      </c>
      <c r="H47" s="8">
        <v>2</v>
      </c>
      <c r="I47" s="8">
        <v>0</v>
      </c>
      <c r="J47" s="8">
        <v>1</v>
      </c>
      <c r="K47" s="8">
        <v>2</v>
      </c>
      <c r="L47" s="8">
        <v>1</v>
      </c>
      <c r="M47" s="8" t="s">
        <v>9</v>
      </c>
      <c r="N47" s="8" t="s">
        <v>9</v>
      </c>
      <c r="O47" s="8">
        <v>0</v>
      </c>
      <c r="P47" s="8">
        <v>0</v>
      </c>
      <c r="Q47" s="8">
        <v>1</v>
      </c>
      <c r="R47" s="8">
        <v>0</v>
      </c>
      <c r="S47" s="8">
        <v>1</v>
      </c>
      <c r="T47" s="8">
        <v>0</v>
      </c>
      <c r="U47" s="8" t="s">
        <v>9</v>
      </c>
      <c r="V47" s="8">
        <v>2</v>
      </c>
      <c r="W47" s="8">
        <v>1</v>
      </c>
      <c r="X47" s="8">
        <v>0</v>
      </c>
      <c r="Y47" s="8">
        <v>0</v>
      </c>
      <c r="Z47" s="8">
        <v>0</v>
      </c>
      <c r="AA47" s="8" t="s">
        <v>9</v>
      </c>
      <c r="AB47" s="8" t="s">
        <v>9</v>
      </c>
      <c r="AC47" s="8">
        <v>0</v>
      </c>
      <c r="AD47" s="8">
        <v>0</v>
      </c>
      <c r="AE47" s="8">
        <v>0</v>
      </c>
      <c r="AF47" s="8">
        <v>1</v>
      </c>
      <c r="AG47" s="8">
        <v>0</v>
      </c>
      <c r="AH47" s="8">
        <v>0</v>
      </c>
      <c r="AI47" s="26">
        <f t="shared" si="11"/>
        <v>12</v>
      </c>
      <c r="AJ47" s="87"/>
    </row>
    <row r="48" spans="1:36" x14ac:dyDescent="0.25">
      <c r="A48" s="129" t="s">
        <v>23</v>
      </c>
      <c r="B48" s="124" t="s">
        <v>18</v>
      </c>
      <c r="C48" s="29" t="s">
        <v>48</v>
      </c>
      <c r="D48" s="7" t="s">
        <v>9</v>
      </c>
      <c r="E48" s="7">
        <v>1</v>
      </c>
      <c r="F48" s="7" t="s">
        <v>9</v>
      </c>
      <c r="G48" s="7" t="s">
        <v>9</v>
      </c>
      <c r="H48" s="7">
        <v>8</v>
      </c>
      <c r="I48" s="7">
        <v>15</v>
      </c>
      <c r="J48" s="7">
        <v>17</v>
      </c>
      <c r="K48" s="7">
        <v>11</v>
      </c>
      <c r="L48" s="7">
        <v>4</v>
      </c>
      <c r="M48" s="7">
        <v>20</v>
      </c>
      <c r="N48" s="7" t="s">
        <v>9</v>
      </c>
      <c r="O48" s="20">
        <v>2</v>
      </c>
      <c r="P48" s="7">
        <v>15</v>
      </c>
      <c r="Q48" s="7">
        <v>1</v>
      </c>
      <c r="R48" s="20">
        <v>5</v>
      </c>
      <c r="S48" s="7" t="s">
        <v>9</v>
      </c>
      <c r="T48" s="7" t="s">
        <v>9</v>
      </c>
      <c r="U48" s="7" t="s">
        <v>9</v>
      </c>
      <c r="V48" s="7">
        <v>5</v>
      </c>
      <c r="W48" s="7">
        <v>10</v>
      </c>
      <c r="X48" s="7">
        <v>0</v>
      </c>
      <c r="Y48" s="7">
        <v>35</v>
      </c>
      <c r="Z48" s="7">
        <v>5</v>
      </c>
      <c r="AA48" s="7">
        <v>6</v>
      </c>
      <c r="AB48" s="7" t="s">
        <v>9</v>
      </c>
      <c r="AC48" s="7">
        <v>10</v>
      </c>
      <c r="AD48" s="7">
        <v>15</v>
      </c>
      <c r="AE48" s="7">
        <v>35</v>
      </c>
      <c r="AF48" s="7" t="s">
        <v>9</v>
      </c>
      <c r="AG48" s="17" t="s">
        <v>30</v>
      </c>
      <c r="AH48" s="7" t="s">
        <v>9</v>
      </c>
      <c r="AI48" s="27">
        <f t="shared" ref="AI48:AI53" si="12">SUM(D48:AH48)</f>
        <v>220</v>
      </c>
      <c r="AJ48" s="85">
        <f>SUM(AI48:AI53)</f>
        <v>568</v>
      </c>
    </row>
    <row r="49" spans="1:36" x14ac:dyDescent="0.25">
      <c r="A49" s="126"/>
      <c r="B49" s="125"/>
      <c r="C49" s="32" t="s">
        <v>50</v>
      </c>
      <c r="D49" s="14" t="s">
        <v>9</v>
      </c>
      <c r="E49" s="14">
        <v>4</v>
      </c>
      <c r="F49" s="14" t="s">
        <v>9</v>
      </c>
      <c r="G49" s="14" t="s">
        <v>9</v>
      </c>
      <c r="H49" s="14">
        <v>19</v>
      </c>
      <c r="I49" s="14">
        <v>10</v>
      </c>
      <c r="J49" s="14">
        <v>2</v>
      </c>
      <c r="K49" s="14">
        <v>3</v>
      </c>
      <c r="L49" s="14">
        <v>3</v>
      </c>
      <c r="M49" s="14">
        <v>3</v>
      </c>
      <c r="N49" s="14" t="s">
        <v>9</v>
      </c>
      <c r="O49" s="14">
        <v>13</v>
      </c>
      <c r="P49" s="14">
        <v>18</v>
      </c>
      <c r="Q49" s="14">
        <v>17</v>
      </c>
      <c r="R49" s="14">
        <v>10</v>
      </c>
      <c r="S49" s="14" t="s">
        <v>9</v>
      </c>
      <c r="T49" s="14" t="s">
        <v>9</v>
      </c>
      <c r="U49" s="14" t="s">
        <v>9</v>
      </c>
      <c r="V49" s="14">
        <v>26</v>
      </c>
      <c r="W49" s="14">
        <v>0</v>
      </c>
      <c r="X49" s="14">
        <v>14</v>
      </c>
      <c r="Y49" s="14">
        <v>2</v>
      </c>
      <c r="Z49" s="14">
        <v>8</v>
      </c>
      <c r="AA49" s="14">
        <v>1</v>
      </c>
      <c r="AB49" s="14" t="s">
        <v>9</v>
      </c>
      <c r="AC49" s="14">
        <v>22</v>
      </c>
      <c r="AD49" s="14">
        <v>8</v>
      </c>
      <c r="AE49" s="14">
        <v>11</v>
      </c>
      <c r="AF49" s="14" t="s">
        <v>9</v>
      </c>
      <c r="AG49" s="17" t="s">
        <v>30</v>
      </c>
      <c r="AH49" s="14" t="s">
        <v>9</v>
      </c>
      <c r="AI49" s="28">
        <f t="shared" si="12"/>
        <v>194</v>
      </c>
      <c r="AJ49" s="122"/>
    </row>
    <row r="50" spans="1:36" x14ac:dyDescent="0.25">
      <c r="A50" s="126"/>
      <c r="B50" s="125"/>
      <c r="C50" s="32" t="s">
        <v>49</v>
      </c>
      <c r="D50" s="14" t="s">
        <v>9</v>
      </c>
      <c r="E50" s="14">
        <v>0</v>
      </c>
      <c r="F50" s="14" t="s">
        <v>9</v>
      </c>
      <c r="G50" s="14" t="s">
        <v>9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 t="s">
        <v>9</v>
      </c>
      <c r="O50" s="14">
        <v>0</v>
      </c>
      <c r="P50" s="14">
        <v>0</v>
      </c>
      <c r="Q50" s="14">
        <v>0</v>
      </c>
      <c r="R50" s="14">
        <v>0</v>
      </c>
      <c r="S50" s="14" t="s">
        <v>9</v>
      </c>
      <c r="T50" s="14" t="s">
        <v>9</v>
      </c>
      <c r="U50" s="14" t="s">
        <v>9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 t="s">
        <v>9</v>
      </c>
      <c r="AC50" s="14">
        <v>0</v>
      </c>
      <c r="AD50" s="14">
        <v>0</v>
      </c>
      <c r="AE50" s="14">
        <v>0</v>
      </c>
      <c r="AF50" s="14" t="s">
        <v>9</v>
      </c>
      <c r="AG50" s="17" t="s">
        <v>30</v>
      </c>
      <c r="AH50" s="14" t="s">
        <v>9</v>
      </c>
      <c r="AI50" s="28">
        <f t="shared" si="12"/>
        <v>0</v>
      </c>
      <c r="AJ50" s="122"/>
    </row>
    <row r="51" spans="1:36" x14ac:dyDescent="0.25">
      <c r="A51" s="126"/>
      <c r="B51" s="126"/>
      <c r="C51" s="32" t="s">
        <v>51</v>
      </c>
      <c r="D51" s="14" t="s">
        <v>9</v>
      </c>
      <c r="E51" s="14">
        <v>1</v>
      </c>
      <c r="F51" s="14" t="s">
        <v>9</v>
      </c>
      <c r="G51" s="14" t="s">
        <v>9</v>
      </c>
      <c r="H51" s="14">
        <v>3</v>
      </c>
      <c r="I51" s="14">
        <v>1</v>
      </c>
      <c r="J51" s="14">
        <v>2</v>
      </c>
      <c r="K51" s="14">
        <v>0</v>
      </c>
      <c r="L51" s="14">
        <v>0</v>
      </c>
      <c r="M51" s="14">
        <v>1</v>
      </c>
      <c r="N51" s="14" t="s">
        <v>9</v>
      </c>
      <c r="O51" s="14">
        <v>4</v>
      </c>
      <c r="P51" s="14">
        <v>2</v>
      </c>
      <c r="Q51" s="14">
        <v>1</v>
      </c>
      <c r="R51" s="14">
        <v>1</v>
      </c>
      <c r="S51" s="14" t="s">
        <v>9</v>
      </c>
      <c r="T51" s="14" t="s">
        <v>9</v>
      </c>
      <c r="U51" s="14" t="s">
        <v>9</v>
      </c>
      <c r="V51" s="14">
        <v>0</v>
      </c>
      <c r="W51" s="14">
        <v>1</v>
      </c>
      <c r="X51" s="14">
        <v>0</v>
      </c>
      <c r="Y51" s="14">
        <v>3</v>
      </c>
      <c r="Z51" s="14">
        <v>0</v>
      </c>
      <c r="AA51" s="14">
        <v>0</v>
      </c>
      <c r="AB51" s="14" t="s">
        <v>9</v>
      </c>
      <c r="AC51" s="14">
        <v>1</v>
      </c>
      <c r="AD51" s="14">
        <v>0</v>
      </c>
      <c r="AE51" s="14">
        <v>2</v>
      </c>
      <c r="AF51" s="14" t="s">
        <v>9</v>
      </c>
      <c r="AG51" s="17" t="s">
        <v>30</v>
      </c>
      <c r="AH51" s="14" t="s">
        <v>9</v>
      </c>
      <c r="AI51" s="28">
        <f t="shared" si="12"/>
        <v>23</v>
      </c>
      <c r="AJ51" s="122"/>
    </row>
    <row r="52" spans="1:36" x14ac:dyDescent="0.25">
      <c r="A52" s="130"/>
      <c r="B52" s="127" t="s">
        <v>45</v>
      </c>
      <c r="C52" s="30" t="s">
        <v>46</v>
      </c>
      <c r="D52" s="3" t="s">
        <v>9</v>
      </c>
      <c r="E52" s="3">
        <v>5</v>
      </c>
      <c r="F52" s="3" t="s">
        <v>9</v>
      </c>
      <c r="G52" s="3" t="s">
        <v>9</v>
      </c>
      <c r="H52" s="3">
        <v>5</v>
      </c>
      <c r="I52" s="3">
        <v>12</v>
      </c>
      <c r="J52" s="3">
        <v>5</v>
      </c>
      <c r="K52" s="3">
        <v>3</v>
      </c>
      <c r="L52" s="3">
        <v>2</v>
      </c>
      <c r="M52" s="3">
        <v>4</v>
      </c>
      <c r="N52" s="3" t="s">
        <v>9</v>
      </c>
      <c r="O52" s="17">
        <v>5</v>
      </c>
      <c r="P52" s="3">
        <v>16</v>
      </c>
      <c r="Q52" s="3">
        <v>5</v>
      </c>
      <c r="R52" s="17">
        <v>0</v>
      </c>
      <c r="S52" s="3" t="s">
        <v>9</v>
      </c>
      <c r="T52" s="3" t="s">
        <v>9</v>
      </c>
      <c r="U52" s="3" t="s">
        <v>9</v>
      </c>
      <c r="V52" s="3">
        <v>3</v>
      </c>
      <c r="W52" s="3">
        <v>6</v>
      </c>
      <c r="X52" s="3">
        <v>3</v>
      </c>
      <c r="Y52" s="3">
        <v>30</v>
      </c>
      <c r="Z52" s="3">
        <v>0</v>
      </c>
      <c r="AA52" s="3">
        <v>3</v>
      </c>
      <c r="AB52" s="3" t="s">
        <v>9</v>
      </c>
      <c r="AC52" s="3">
        <v>4</v>
      </c>
      <c r="AD52" s="3">
        <v>10</v>
      </c>
      <c r="AE52" s="3">
        <v>9</v>
      </c>
      <c r="AF52" s="3" t="s">
        <v>9</v>
      </c>
      <c r="AG52" s="17" t="s">
        <v>30</v>
      </c>
      <c r="AH52" s="3" t="s">
        <v>9</v>
      </c>
      <c r="AI52" s="28">
        <f t="shared" si="12"/>
        <v>130</v>
      </c>
      <c r="AJ52" s="86"/>
    </row>
    <row r="53" spans="1:36" ht="13.5" thickBot="1" x14ac:dyDescent="0.3">
      <c r="A53" s="131"/>
      <c r="B53" s="128"/>
      <c r="C53" s="31" t="s">
        <v>47</v>
      </c>
      <c r="D53" s="8" t="s">
        <v>9</v>
      </c>
      <c r="E53" s="8">
        <v>0</v>
      </c>
      <c r="F53" s="8" t="s">
        <v>9</v>
      </c>
      <c r="G53" s="8" t="s">
        <v>9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 t="s">
        <v>9</v>
      </c>
      <c r="O53" s="21">
        <v>1</v>
      </c>
      <c r="P53" s="8">
        <v>0</v>
      </c>
      <c r="Q53" s="8">
        <v>0</v>
      </c>
      <c r="R53" s="21">
        <v>0</v>
      </c>
      <c r="S53" s="8" t="s">
        <v>9</v>
      </c>
      <c r="T53" s="8" t="s">
        <v>9</v>
      </c>
      <c r="U53" s="8" t="s">
        <v>9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 t="s">
        <v>9</v>
      </c>
      <c r="AC53" s="8">
        <v>0</v>
      </c>
      <c r="AD53" s="8">
        <v>0</v>
      </c>
      <c r="AE53" s="8">
        <v>0</v>
      </c>
      <c r="AF53" s="8" t="s">
        <v>9</v>
      </c>
      <c r="AG53" s="17" t="s">
        <v>30</v>
      </c>
      <c r="AH53" s="8" t="s">
        <v>9</v>
      </c>
      <c r="AI53" s="26">
        <f t="shared" si="12"/>
        <v>1</v>
      </c>
      <c r="AJ53" s="87"/>
    </row>
    <row r="54" spans="1:36" x14ac:dyDescent="0.25">
      <c r="A54" s="89" t="s">
        <v>34</v>
      </c>
      <c r="B54" s="124" t="s">
        <v>18</v>
      </c>
      <c r="C54" s="29" t="s">
        <v>48</v>
      </c>
      <c r="D54" s="7" t="s">
        <v>9</v>
      </c>
      <c r="E54" s="7">
        <f>27+9</f>
        <v>36</v>
      </c>
      <c r="F54" s="7" t="s">
        <v>9</v>
      </c>
      <c r="G54" s="7" t="s">
        <v>9</v>
      </c>
      <c r="H54" s="7">
        <v>16</v>
      </c>
      <c r="I54" s="7">
        <v>12</v>
      </c>
      <c r="J54" s="7">
        <v>17</v>
      </c>
      <c r="K54" s="7">
        <v>7</v>
      </c>
      <c r="L54" s="7">
        <v>8</v>
      </c>
      <c r="M54" s="7">
        <v>2</v>
      </c>
      <c r="N54" s="7" t="s">
        <v>9</v>
      </c>
      <c r="O54" s="7">
        <v>14</v>
      </c>
      <c r="P54" s="7" t="s">
        <v>37</v>
      </c>
      <c r="Q54" s="7" t="s">
        <v>9</v>
      </c>
      <c r="R54" s="7" t="s">
        <v>9</v>
      </c>
      <c r="S54" s="7">
        <v>0</v>
      </c>
      <c r="T54" s="7" t="s">
        <v>9</v>
      </c>
      <c r="U54" s="7" t="s">
        <v>9</v>
      </c>
      <c r="V54" s="7">
        <v>5</v>
      </c>
      <c r="W54" s="7">
        <v>16</v>
      </c>
      <c r="X54" s="7">
        <v>3</v>
      </c>
      <c r="Y54" s="7">
        <v>21</v>
      </c>
      <c r="Z54" s="7">
        <v>2</v>
      </c>
      <c r="AA54" s="7">
        <v>0</v>
      </c>
      <c r="AB54" s="7" t="s">
        <v>9</v>
      </c>
      <c r="AC54" s="7">
        <v>9</v>
      </c>
      <c r="AD54" s="7">
        <v>19</v>
      </c>
      <c r="AE54" s="7">
        <v>39</v>
      </c>
      <c r="AF54" s="7">
        <v>17</v>
      </c>
      <c r="AG54" s="7">
        <v>23</v>
      </c>
      <c r="AH54" s="7" t="s">
        <v>9</v>
      </c>
      <c r="AI54" s="27">
        <f t="shared" ref="AI54:AI59" si="13">SUM(D54:AH54)</f>
        <v>266</v>
      </c>
      <c r="AJ54" s="85">
        <f>SUM(AI54:AI59)</f>
        <v>549</v>
      </c>
    </row>
    <row r="55" spans="1:36" x14ac:dyDescent="0.25">
      <c r="A55" s="121"/>
      <c r="B55" s="125"/>
      <c r="C55" s="32" t="s">
        <v>50</v>
      </c>
      <c r="D55" s="14" t="s">
        <v>9</v>
      </c>
      <c r="E55" s="14">
        <v>2</v>
      </c>
      <c r="F55" s="14" t="s">
        <v>9</v>
      </c>
      <c r="G55" s="14" t="s">
        <v>9</v>
      </c>
      <c r="H55" s="14">
        <v>7</v>
      </c>
      <c r="I55" s="14">
        <v>9</v>
      </c>
      <c r="J55" s="14">
        <v>4</v>
      </c>
      <c r="K55" s="14">
        <v>6</v>
      </c>
      <c r="L55" s="14">
        <v>0</v>
      </c>
      <c r="M55" s="14">
        <v>8</v>
      </c>
      <c r="N55" s="14" t="s">
        <v>9</v>
      </c>
      <c r="O55" s="14">
        <v>9</v>
      </c>
      <c r="P55" s="14" t="s">
        <v>37</v>
      </c>
      <c r="Q55" s="14" t="s">
        <v>9</v>
      </c>
      <c r="R55" s="14" t="s">
        <v>9</v>
      </c>
      <c r="S55" s="14">
        <v>10</v>
      </c>
      <c r="T55" s="14" t="s">
        <v>9</v>
      </c>
      <c r="U55" s="14" t="s">
        <v>9</v>
      </c>
      <c r="V55" s="14">
        <v>15</v>
      </c>
      <c r="W55" s="14">
        <v>8</v>
      </c>
      <c r="X55" s="14">
        <v>7</v>
      </c>
      <c r="Y55" s="14">
        <v>6</v>
      </c>
      <c r="Z55" s="14">
        <v>2</v>
      </c>
      <c r="AA55" s="14">
        <v>3</v>
      </c>
      <c r="AB55" s="14" t="s">
        <v>9</v>
      </c>
      <c r="AC55" s="14">
        <v>11</v>
      </c>
      <c r="AD55" s="14">
        <v>10</v>
      </c>
      <c r="AE55" s="14">
        <v>11</v>
      </c>
      <c r="AF55" s="14">
        <v>14</v>
      </c>
      <c r="AG55" s="14">
        <v>7</v>
      </c>
      <c r="AH55" s="14" t="s">
        <v>9</v>
      </c>
      <c r="AI55" s="28">
        <f t="shared" si="13"/>
        <v>149</v>
      </c>
      <c r="AJ55" s="122"/>
    </row>
    <row r="56" spans="1:36" x14ac:dyDescent="0.25">
      <c r="A56" s="121"/>
      <c r="B56" s="125"/>
      <c r="C56" s="32" t="s">
        <v>49</v>
      </c>
      <c r="D56" s="14" t="s">
        <v>9</v>
      </c>
      <c r="E56" s="14">
        <v>0</v>
      </c>
      <c r="F56" s="14" t="s">
        <v>9</v>
      </c>
      <c r="G56" s="14" t="s">
        <v>9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1</v>
      </c>
      <c r="N56" s="14" t="s">
        <v>9</v>
      </c>
      <c r="O56" s="14">
        <v>0</v>
      </c>
      <c r="P56" s="14" t="s">
        <v>37</v>
      </c>
      <c r="Q56" s="14" t="s">
        <v>9</v>
      </c>
      <c r="R56" s="14" t="s">
        <v>9</v>
      </c>
      <c r="S56" s="14">
        <v>0</v>
      </c>
      <c r="T56" s="14" t="s">
        <v>9</v>
      </c>
      <c r="U56" s="14" t="s">
        <v>9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 t="s">
        <v>9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 t="s">
        <v>9</v>
      </c>
      <c r="AI56" s="28">
        <f t="shared" si="13"/>
        <v>1</v>
      </c>
      <c r="AJ56" s="122"/>
    </row>
    <row r="57" spans="1:36" x14ac:dyDescent="0.25">
      <c r="A57" s="121"/>
      <c r="B57" s="126"/>
      <c r="C57" s="32" t="s">
        <v>51</v>
      </c>
      <c r="D57" s="14" t="s">
        <v>9</v>
      </c>
      <c r="E57" s="14">
        <v>3</v>
      </c>
      <c r="F57" s="14" t="s">
        <v>9</v>
      </c>
      <c r="G57" s="14" t="s">
        <v>9</v>
      </c>
      <c r="H57" s="14">
        <v>0</v>
      </c>
      <c r="I57" s="14">
        <v>1</v>
      </c>
      <c r="J57" s="14">
        <v>1</v>
      </c>
      <c r="K57" s="14">
        <v>0</v>
      </c>
      <c r="L57" s="14">
        <v>1</v>
      </c>
      <c r="M57" s="14">
        <v>0</v>
      </c>
      <c r="N57" s="14" t="s">
        <v>9</v>
      </c>
      <c r="O57" s="14">
        <v>2</v>
      </c>
      <c r="P57" s="14" t="s">
        <v>37</v>
      </c>
      <c r="Q57" s="14" t="s">
        <v>9</v>
      </c>
      <c r="R57" s="14" t="s">
        <v>9</v>
      </c>
      <c r="S57" s="14">
        <v>2</v>
      </c>
      <c r="T57" s="14" t="s">
        <v>9</v>
      </c>
      <c r="U57" s="14" t="s">
        <v>9</v>
      </c>
      <c r="V57" s="14">
        <v>2</v>
      </c>
      <c r="W57" s="14">
        <v>4</v>
      </c>
      <c r="X57" s="14">
        <v>1</v>
      </c>
      <c r="Y57" s="14">
        <v>0</v>
      </c>
      <c r="Z57" s="14">
        <v>0</v>
      </c>
      <c r="AA57" s="14">
        <v>2</v>
      </c>
      <c r="AB57" s="14" t="s">
        <v>9</v>
      </c>
      <c r="AC57" s="14">
        <v>0</v>
      </c>
      <c r="AD57" s="14">
        <v>7</v>
      </c>
      <c r="AE57" s="14">
        <v>1</v>
      </c>
      <c r="AF57" s="14">
        <v>4</v>
      </c>
      <c r="AG57" s="14">
        <v>1</v>
      </c>
      <c r="AH57" s="14" t="s">
        <v>9</v>
      </c>
      <c r="AI57" s="28">
        <f t="shared" si="13"/>
        <v>32</v>
      </c>
      <c r="AJ57" s="122"/>
    </row>
    <row r="58" spans="1:36" x14ac:dyDescent="0.25">
      <c r="A58" s="90"/>
      <c r="B58" s="127" t="s">
        <v>45</v>
      </c>
      <c r="C58" s="30" t="s">
        <v>46</v>
      </c>
      <c r="D58" s="3" t="s">
        <v>9</v>
      </c>
      <c r="E58" s="3">
        <v>15</v>
      </c>
      <c r="F58" s="3" t="s">
        <v>9</v>
      </c>
      <c r="G58" s="3" t="s">
        <v>9</v>
      </c>
      <c r="H58" s="3">
        <v>1</v>
      </c>
      <c r="I58" s="3">
        <v>3</v>
      </c>
      <c r="J58" s="3">
        <v>3</v>
      </c>
      <c r="K58" s="3">
        <v>4</v>
      </c>
      <c r="L58" s="3">
        <v>2</v>
      </c>
      <c r="M58" s="3">
        <v>2</v>
      </c>
      <c r="N58" s="3" t="s">
        <v>9</v>
      </c>
      <c r="O58" s="3">
        <v>2</v>
      </c>
      <c r="P58" s="3" t="s">
        <v>37</v>
      </c>
      <c r="Q58" s="3" t="s">
        <v>9</v>
      </c>
      <c r="R58" s="3" t="s">
        <v>9</v>
      </c>
      <c r="S58" s="3">
        <v>4</v>
      </c>
      <c r="T58" s="3" t="s">
        <v>9</v>
      </c>
      <c r="U58" s="3" t="s">
        <v>9</v>
      </c>
      <c r="V58" s="3">
        <v>5</v>
      </c>
      <c r="W58" s="3">
        <v>10</v>
      </c>
      <c r="X58" s="3">
        <v>2</v>
      </c>
      <c r="Y58" s="3">
        <v>5</v>
      </c>
      <c r="Z58" s="3">
        <v>0</v>
      </c>
      <c r="AA58" s="3">
        <v>3</v>
      </c>
      <c r="AB58" s="3" t="s">
        <v>9</v>
      </c>
      <c r="AC58" s="3">
        <v>2</v>
      </c>
      <c r="AD58" s="3">
        <v>12</v>
      </c>
      <c r="AE58" s="3">
        <v>5</v>
      </c>
      <c r="AF58" s="3">
        <v>5</v>
      </c>
      <c r="AG58" s="3">
        <v>14</v>
      </c>
      <c r="AH58" s="3" t="s">
        <v>9</v>
      </c>
      <c r="AI58" s="28">
        <f t="shared" si="13"/>
        <v>99</v>
      </c>
      <c r="AJ58" s="86"/>
    </row>
    <row r="59" spans="1:36" ht="13.5" thickBot="1" x14ac:dyDescent="0.3">
      <c r="A59" s="91"/>
      <c r="B59" s="128"/>
      <c r="C59" s="31" t="s">
        <v>47</v>
      </c>
      <c r="D59" s="8" t="s">
        <v>9</v>
      </c>
      <c r="E59" s="8">
        <v>0</v>
      </c>
      <c r="F59" s="8" t="s">
        <v>9</v>
      </c>
      <c r="G59" s="8" t="s">
        <v>9</v>
      </c>
      <c r="H59" s="8">
        <v>0</v>
      </c>
      <c r="I59" s="8">
        <v>0</v>
      </c>
      <c r="J59" s="8">
        <v>0</v>
      </c>
      <c r="K59" s="8">
        <v>2</v>
      </c>
      <c r="L59" s="8">
        <v>0</v>
      </c>
      <c r="M59" s="8">
        <v>0</v>
      </c>
      <c r="N59" s="8" t="s">
        <v>9</v>
      </c>
      <c r="O59" s="8">
        <v>0</v>
      </c>
      <c r="P59" s="8" t="s">
        <v>37</v>
      </c>
      <c r="Q59" s="8" t="s">
        <v>9</v>
      </c>
      <c r="R59" s="8" t="s">
        <v>9</v>
      </c>
      <c r="S59" s="8">
        <v>0</v>
      </c>
      <c r="T59" s="8" t="s">
        <v>9</v>
      </c>
      <c r="U59" s="8" t="s">
        <v>9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 t="s">
        <v>9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 t="s">
        <v>9</v>
      </c>
      <c r="AI59" s="26">
        <f t="shared" si="13"/>
        <v>2</v>
      </c>
      <c r="AJ59" s="87"/>
    </row>
    <row r="60" spans="1:36" x14ac:dyDescent="0.25">
      <c r="A60" s="142" t="s">
        <v>22</v>
      </c>
      <c r="B60" s="124" t="s">
        <v>18</v>
      </c>
      <c r="C60" s="29" t="s">
        <v>48</v>
      </c>
      <c r="D60" s="7">
        <v>3</v>
      </c>
      <c r="E60" s="7">
        <v>12</v>
      </c>
      <c r="F60" s="7">
        <v>4</v>
      </c>
      <c r="G60" s="7" t="s">
        <v>9</v>
      </c>
      <c r="H60" s="7">
        <v>4</v>
      </c>
      <c r="I60" s="7">
        <v>4</v>
      </c>
      <c r="J60" s="7">
        <v>1</v>
      </c>
      <c r="K60" s="7">
        <v>2</v>
      </c>
      <c r="L60" s="7">
        <v>0</v>
      </c>
      <c r="M60" s="7" t="s">
        <v>9</v>
      </c>
      <c r="N60" s="7" t="s">
        <v>9</v>
      </c>
      <c r="O60" s="7">
        <v>0</v>
      </c>
      <c r="P60" s="7">
        <v>2</v>
      </c>
      <c r="Q60" s="7">
        <v>1</v>
      </c>
      <c r="R60" s="7">
        <v>0</v>
      </c>
      <c r="S60" s="7">
        <v>1</v>
      </c>
      <c r="T60" s="7">
        <v>10</v>
      </c>
      <c r="U60" s="7" t="s">
        <v>9</v>
      </c>
      <c r="V60" s="7">
        <v>8</v>
      </c>
      <c r="W60" s="7">
        <v>9</v>
      </c>
      <c r="X60" s="7">
        <v>13</v>
      </c>
      <c r="Y60" s="7">
        <v>8</v>
      </c>
      <c r="Z60" s="7">
        <v>1</v>
      </c>
      <c r="AA60" s="7" t="s">
        <v>9</v>
      </c>
      <c r="AB60" s="7" t="s">
        <v>9</v>
      </c>
      <c r="AC60" s="7">
        <v>5</v>
      </c>
      <c r="AD60" s="7">
        <v>33</v>
      </c>
      <c r="AE60" s="7">
        <v>16</v>
      </c>
      <c r="AF60" s="7">
        <v>24</v>
      </c>
      <c r="AG60" s="7">
        <v>49</v>
      </c>
      <c r="AH60" s="7">
        <v>36</v>
      </c>
      <c r="AI60" s="27">
        <f t="shared" ref="AI60:AI71" si="14">SUM(D60:AH60)</f>
        <v>246</v>
      </c>
      <c r="AJ60" s="85">
        <f>SUM(AI60:AI65)</f>
        <v>487</v>
      </c>
    </row>
    <row r="61" spans="1:36" x14ac:dyDescent="0.25">
      <c r="A61" s="143"/>
      <c r="B61" s="125"/>
      <c r="C61" s="32" t="s">
        <v>50</v>
      </c>
      <c r="D61" s="14">
        <v>15</v>
      </c>
      <c r="E61" s="14">
        <v>7</v>
      </c>
      <c r="F61" s="14">
        <v>5</v>
      </c>
      <c r="G61" s="14" t="s">
        <v>9</v>
      </c>
      <c r="H61" s="14">
        <v>8</v>
      </c>
      <c r="I61" s="14">
        <v>6</v>
      </c>
      <c r="J61" s="14">
        <v>2</v>
      </c>
      <c r="K61" s="14">
        <v>2</v>
      </c>
      <c r="L61" s="14">
        <v>1</v>
      </c>
      <c r="M61" s="14" t="s">
        <v>9</v>
      </c>
      <c r="N61" s="14" t="s">
        <v>9</v>
      </c>
      <c r="O61" s="14">
        <v>2</v>
      </c>
      <c r="P61" s="14">
        <v>1</v>
      </c>
      <c r="Q61" s="14">
        <v>1</v>
      </c>
      <c r="R61" s="14">
        <v>1</v>
      </c>
      <c r="S61" s="14">
        <v>0</v>
      </c>
      <c r="T61" s="14">
        <v>2</v>
      </c>
      <c r="U61" s="14" t="s">
        <v>9</v>
      </c>
      <c r="V61" s="14">
        <v>10</v>
      </c>
      <c r="W61" s="14">
        <v>2</v>
      </c>
      <c r="X61" s="14">
        <v>5</v>
      </c>
      <c r="Y61" s="14">
        <v>5</v>
      </c>
      <c r="Z61" s="14">
        <v>4</v>
      </c>
      <c r="AA61" s="14" t="s">
        <v>9</v>
      </c>
      <c r="AB61" s="14" t="s">
        <v>9</v>
      </c>
      <c r="AC61" s="14">
        <v>5</v>
      </c>
      <c r="AD61" s="14">
        <v>2</v>
      </c>
      <c r="AE61" s="14">
        <v>8</v>
      </c>
      <c r="AF61" s="14">
        <v>7</v>
      </c>
      <c r="AG61" s="14">
        <v>4</v>
      </c>
      <c r="AH61" s="14">
        <v>19</v>
      </c>
      <c r="AI61" s="28">
        <f t="shared" si="14"/>
        <v>124</v>
      </c>
      <c r="AJ61" s="122"/>
    </row>
    <row r="62" spans="1:36" x14ac:dyDescent="0.25">
      <c r="A62" s="143"/>
      <c r="B62" s="125"/>
      <c r="C62" s="32" t="s">
        <v>49</v>
      </c>
      <c r="D62" s="14">
        <v>0</v>
      </c>
      <c r="E62" s="14">
        <v>0</v>
      </c>
      <c r="F62" s="14">
        <v>0</v>
      </c>
      <c r="G62" s="14" t="s">
        <v>9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 t="s">
        <v>9</v>
      </c>
      <c r="N62" s="14" t="s">
        <v>9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 t="s">
        <v>9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 t="s">
        <v>9</v>
      </c>
      <c r="AB62" s="14" t="s">
        <v>9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28">
        <f t="shared" si="14"/>
        <v>0</v>
      </c>
      <c r="AJ62" s="122"/>
    </row>
    <row r="63" spans="1:36" x14ac:dyDescent="0.25">
      <c r="A63" s="143"/>
      <c r="B63" s="126"/>
      <c r="C63" s="32" t="s">
        <v>51</v>
      </c>
      <c r="D63" s="14">
        <v>0</v>
      </c>
      <c r="E63" s="14">
        <v>0</v>
      </c>
      <c r="F63" s="14">
        <v>2</v>
      </c>
      <c r="G63" s="14" t="s">
        <v>9</v>
      </c>
      <c r="H63" s="14">
        <v>3</v>
      </c>
      <c r="I63" s="14">
        <v>0</v>
      </c>
      <c r="J63" s="14">
        <v>0</v>
      </c>
      <c r="K63" s="14">
        <v>0</v>
      </c>
      <c r="L63" s="14">
        <v>0</v>
      </c>
      <c r="M63" s="14" t="s">
        <v>9</v>
      </c>
      <c r="N63" s="14" t="s">
        <v>9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 t="s">
        <v>9</v>
      </c>
      <c r="V63" s="14">
        <v>2</v>
      </c>
      <c r="W63" s="14">
        <v>0</v>
      </c>
      <c r="X63" s="14">
        <v>0</v>
      </c>
      <c r="Y63" s="14">
        <v>2</v>
      </c>
      <c r="Z63" s="14">
        <v>0</v>
      </c>
      <c r="AA63" s="14" t="s">
        <v>9</v>
      </c>
      <c r="AB63" s="14" t="s">
        <v>9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28">
        <f t="shared" si="14"/>
        <v>9</v>
      </c>
      <c r="AJ63" s="122"/>
    </row>
    <row r="64" spans="1:36" x14ac:dyDescent="0.25">
      <c r="A64" s="143"/>
      <c r="B64" s="127" t="s">
        <v>45</v>
      </c>
      <c r="C64" s="30" t="s">
        <v>46</v>
      </c>
      <c r="D64" s="3">
        <v>10</v>
      </c>
      <c r="E64" s="3">
        <v>2</v>
      </c>
      <c r="F64" s="3">
        <v>4</v>
      </c>
      <c r="G64" s="3" t="s">
        <v>9</v>
      </c>
      <c r="H64" s="3">
        <v>5</v>
      </c>
      <c r="I64" s="3">
        <v>0</v>
      </c>
      <c r="J64" s="3">
        <v>1</v>
      </c>
      <c r="K64" s="3">
        <v>2</v>
      </c>
      <c r="L64" s="3">
        <v>3</v>
      </c>
      <c r="M64" s="3" t="s">
        <v>9</v>
      </c>
      <c r="N64" s="3" t="s">
        <v>9</v>
      </c>
      <c r="O64" s="3">
        <v>1</v>
      </c>
      <c r="P64" s="3">
        <v>0</v>
      </c>
      <c r="Q64" s="3">
        <v>5</v>
      </c>
      <c r="R64" s="3">
        <v>0</v>
      </c>
      <c r="S64" s="3">
        <v>1</v>
      </c>
      <c r="T64" s="3">
        <v>8</v>
      </c>
      <c r="U64" s="3" t="s">
        <v>9</v>
      </c>
      <c r="V64" s="3">
        <v>4</v>
      </c>
      <c r="W64" s="3">
        <v>3</v>
      </c>
      <c r="X64" s="3">
        <v>1</v>
      </c>
      <c r="Y64" s="3">
        <v>11</v>
      </c>
      <c r="Z64" s="3">
        <v>1</v>
      </c>
      <c r="AA64" s="3" t="s">
        <v>9</v>
      </c>
      <c r="AB64" s="3" t="s">
        <v>9</v>
      </c>
      <c r="AC64" s="3">
        <v>0</v>
      </c>
      <c r="AD64" s="3">
        <v>11</v>
      </c>
      <c r="AE64" s="3">
        <v>8</v>
      </c>
      <c r="AF64" s="3">
        <v>1</v>
      </c>
      <c r="AG64" s="3">
        <v>13</v>
      </c>
      <c r="AH64" s="3">
        <v>8</v>
      </c>
      <c r="AI64" s="28">
        <f t="shared" si="14"/>
        <v>103</v>
      </c>
      <c r="AJ64" s="86"/>
    </row>
    <row r="65" spans="1:36" ht="13.5" thickBot="1" x14ac:dyDescent="0.3">
      <c r="A65" s="139"/>
      <c r="B65" s="125"/>
      <c r="C65" s="43" t="s">
        <v>47</v>
      </c>
      <c r="D65" s="8">
        <v>1</v>
      </c>
      <c r="E65" s="13">
        <v>0</v>
      </c>
      <c r="F65" s="13">
        <v>0</v>
      </c>
      <c r="G65" s="13" t="s">
        <v>9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8" t="s">
        <v>9</v>
      </c>
      <c r="N65" s="13" t="s">
        <v>9</v>
      </c>
      <c r="O65" s="13">
        <v>1</v>
      </c>
      <c r="P65" s="13">
        <v>1</v>
      </c>
      <c r="Q65" s="13">
        <v>0</v>
      </c>
      <c r="R65" s="13">
        <v>0</v>
      </c>
      <c r="S65" s="13">
        <v>0</v>
      </c>
      <c r="T65" s="13">
        <v>0</v>
      </c>
      <c r="U65" s="13" t="s">
        <v>9</v>
      </c>
      <c r="V65" s="13">
        <v>0</v>
      </c>
      <c r="W65" s="13">
        <v>0</v>
      </c>
      <c r="X65" s="13">
        <v>1</v>
      </c>
      <c r="Y65" s="13">
        <v>1</v>
      </c>
      <c r="Z65" s="13">
        <v>0</v>
      </c>
      <c r="AA65" s="8" t="s">
        <v>9</v>
      </c>
      <c r="AB65" s="13" t="s">
        <v>9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42">
        <f t="shared" si="14"/>
        <v>5</v>
      </c>
      <c r="AJ65" s="145"/>
    </row>
    <row r="66" spans="1:36" x14ac:dyDescent="0.25">
      <c r="A66" s="129" t="s">
        <v>61</v>
      </c>
      <c r="B66" s="124" t="s">
        <v>18</v>
      </c>
      <c r="C66" s="29" t="s">
        <v>48</v>
      </c>
      <c r="D66" s="7" t="s">
        <v>9</v>
      </c>
      <c r="E66" s="7">
        <v>25</v>
      </c>
      <c r="F66" s="7">
        <v>12</v>
      </c>
      <c r="G66" s="7" t="s">
        <v>9</v>
      </c>
      <c r="H66" s="7" t="s">
        <v>10</v>
      </c>
      <c r="I66" s="7" t="s">
        <v>10</v>
      </c>
      <c r="J66" s="7" t="s">
        <v>10</v>
      </c>
      <c r="K66" s="7" t="s">
        <v>10</v>
      </c>
      <c r="L66" s="7" t="s">
        <v>10</v>
      </c>
      <c r="M66" s="7" t="s">
        <v>10</v>
      </c>
      <c r="N66" s="7" t="s">
        <v>10</v>
      </c>
      <c r="O66" s="7" t="s">
        <v>10</v>
      </c>
      <c r="P66" s="7" t="s">
        <v>10</v>
      </c>
      <c r="Q66" s="7" t="s">
        <v>10</v>
      </c>
      <c r="R66" s="7" t="s">
        <v>10</v>
      </c>
      <c r="S66" s="7" t="s">
        <v>10</v>
      </c>
      <c r="T66" s="7" t="s">
        <v>10</v>
      </c>
      <c r="U66" s="7" t="s">
        <v>10</v>
      </c>
      <c r="V66" s="7" t="s">
        <v>10</v>
      </c>
      <c r="W66" s="7" t="s">
        <v>10</v>
      </c>
      <c r="X66" s="7" t="s">
        <v>10</v>
      </c>
      <c r="Y66" s="7" t="s">
        <v>10</v>
      </c>
      <c r="Z66" s="7" t="s">
        <v>10</v>
      </c>
      <c r="AA66" s="7" t="s">
        <v>10</v>
      </c>
      <c r="AB66" s="7" t="s">
        <v>10</v>
      </c>
      <c r="AC66" s="7" t="s">
        <v>10</v>
      </c>
      <c r="AD66" s="7" t="s">
        <v>10</v>
      </c>
      <c r="AE66" s="7" t="s">
        <v>10</v>
      </c>
      <c r="AF66" s="7" t="s">
        <v>10</v>
      </c>
      <c r="AG66" s="7" t="s">
        <v>10</v>
      </c>
      <c r="AH66" s="7" t="s">
        <v>10</v>
      </c>
      <c r="AI66" s="7">
        <f t="shared" si="14"/>
        <v>37</v>
      </c>
      <c r="AJ66" s="85">
        <f>SUM(AI66:AI71)</f>
        <v>55</v>
      </c>
    </row>
    <row r="67" spans="1:36" x14ac:dyDescent="0.25">
      <c r="A67" s="126"/>
      <c r="B67" s="125"/>
      <c r="C67" s="32" t="s">
        <v>50</v>
      </c>
      <c r="D67" s="3" t="s">
        <v>9</v>
      </c>
      <c r="E67" s="3">
        <v>5</v>
      </c>
      <c r="F67" s="3">
        <v>5</v>
      </c>
      <c r="G67" s="3" t="s">
        <v>9</v>
      </c>
      <c r="H67" s="3" t="s">
        <v>10</v>
      </c>
      <c r="I67" s="3" t="s">
        <v>10</v>
      </c>
      <c r="J67" s="3" t="s">
        <v>10</v>
      </c>
      <c r="K67" s="3" t="s">
        <v>10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>
        <f t="shared" si="14"/>
        <v>10</v>
      </c>
      <c r="AJ67" s="122"/>
    </row>
    <row r="68" spans="1:36" x14ac:dyDescent="0.25">
      <c r="A68" s="126"/>
      <c r="B68" s="125"/>
      <c r="C68" s="32" t="s">
        <v>49</v>
      </c>
      <c r="D68" s="3" t="s">
        <v>9</v>
      </c>
      <c r="E68" s="3">
        <v>0</v>
      </c>
      <c r="F68" s="3">
        <v>0</v>
      </c>
      <c r="G68" s="3" t="s">
        <v>9</v>
      </c>
      <c r="H68" s="3" t="s">
        <v>10</v>
      </c>
      <c r="I68" s="3" t="s">
        <v>10</v>
      </c>
      <c r="J68" s="3" t="s">
        <v>10</v>
      </c>
      <c r="K68" s="3" t="s">
        <v>10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>
        <f t="shared" si="14"/>
        <v>0</v>
      </c>
      <c r="AJ68" s="122"/>
    </row>
    <row r="69" spans="1:36" x14ac:dyDescent="0.25">
      <c r="A69" s="126"/>
      <c r="B69" s="126"/>
      <c r="C69" s="32" t="s">
        <v>51</v>
      </c>
      <c r="D69" s="3" t="s">
        <v>9</v>
      </c>
      <c r="E69" s="3">
        <v>2</v>
      </c>
      <c r="F69" s="3">
        <v>1</v>
      </c>
      <c r="G69" s="3" t="s">
        <v>9</v>
      </c>
      <c r="H69" s="3" t="s">
        <v>10</v>
      </c>
      <c r="I69" s="3" t="s">
        <v>10</v>
      </c>
      <c r="J69" s="3" t="s">
        <v>10</v>
      </c>
      <c r="K69" s="3" t="s">
        <v>10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>
        <f t="shared" si="14"/>
        <v>3</v>
      </c>
      <c r="AJ69" s="122"/>
    </row>
    <row r="70" spans="1:36" x14ac:dyDescent="0.25">
      <c r="A70" s="130"/>
      <c r="B70" s="127" t="s">
        <v>45</v>
      </c>
      <c r="C70" s="30" t="s">
        <v>46</v>
      </c>
      <c r="D70" s="3" t="s">
        <v>9</v>
      </c>
      <c r="E70" s="3">
        <v>3</v>
      </c>
      <c r="F70" s="3">
        <v>2</v>
      </c>
      <c r="G70" s="3" t="s">
        <v>9</v>
      </c>
      <c r="H70" s="3" t="s">
        <v>10</v>
      </c>
      <c r="I70" s="3" t="s">
        <v>10</v>
      </c>
      <c r="J70" s="3" t="s">
        <v>10</v>
      </c>
      <c r="K70" s="3" t="s">
        <v>10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>
        <f t="shared" si="14"/>
        <v>5</v>
      </c>
      <c r="AJ70" s="86"/>
    </row>
    <row r="71" spans="1:36" ht="13.5" thickBot="1" x14ac:dyDescent="0.3">
      <c r="A71" s="131"/>
      <c r="B71" s="128"/>
      <c r="C71" s="31" t="s">
        <v>47</v>
      </c>
      <c r="D71" s="8" t="s">
        <v>9</v>
      </c>
      <c r="E71" s="8">
        <v>0</v>
      </c>
      <c r="F71" s="8">
        <v>0</v>
      </c>
      <c r="G71" s="8" t="s">
        <v>9</v>
      </c>
      <c r="H71" s="8" t="s">
        <v>10</v>
      </c>
      <c r="I71" s="8" t="s">
        <v>10</v>
      </c>
      <c r="J71" s="8" t="s">
        <v>10</v>
      </c>
      <c r="K71" s="8" t="s">
        <v>10</v>
      </c>
      <c r="L71" s="8" t="s">
        <v>10</v>
      </c>
      <c r="M71" s="8" t="s">
        <v>10</v>
      </c>
      <c r="N71" s="8" t="s">
        <v>10</v>
      </c>
      <c r="O71" s="8" t="s">
        <v>10</v>
      </c>
      <c r="P71" s="8" t="s">
        <v>10</v>
      </c>
      <c r="Q71" s="8" t="s">
        <v>10</v>
      </c>
      <c r="R71" s="8" t="s">
        <v>10</v>
      </c>
      <c r="S71" s="8" t="s">
        <v>10</v>
      </c>
      <c r="T71" s="8" t="s">
        <v>10</v>
      </c>
      <c r="U71" s="8" t="s">
        <v>10</v>
      </c>
      <c r="V71" s="8" t="s">
        <v>10</v>
      </c>
      <c r="W71" s="8" t="s">
        <v>10</v>
      </c>
      <c r="X71" s="8" t="s">
        <v>10</v>
      </c>
      <c r="Y71" s="8" t="s">
        <v>10</v>
      </c>
      <c r="Z71" s="8" t="s">
        <v>10</v>
      </c>
      <c r="AA71" s="8" t="s">
        <v>10</v>
      </c>
      <c r="AB71" s="8" t="s">
        <v>10</v>
      </c>
      <c r="AC71" s="8" t="s">
        <v>10</v>
      </c>
      <c r="AD71" s="8" t="s">
        <v>10</v>
      </c>
      <c r="AE71" s="8" t="s">
        <v>10</v>
      </c>
      <c r="AF71" s="8" t="s">
        <v>10</v>
      </c>
      <c r="AG71" s="8" t="s">
        <v>10</v>
      </c>
      <c r="AH71" s="8" t="s">
        <v>10</v>
      </c>
      <c r="AI71" s="8">
        <f t="shared" si="14"/>
        <v>0</v>
      </c>
      <c r="AJ71" s="87"/>
    </row>
    <row r="72" spans="1:36" ht="13.5" thickBot="1" x14ac:dyDescent="0.3">
      <c r="A72" s="110" t="s">
        <v>1</v>
      </c>
      <c r="B72" s="141"/>
      <c r="C72" s="111"/>
      <c r="D72" s="9">
        <f>SUM(D24:D71)</f>
        <v>75</v>
      </c>
      <c r="E72" s="9">
        <f>SUM(E24:E71)</f>
        <v>278</v>
      </c>
      <c r="F72" s="9">
        <f>SUM(F24:F71)</f>
        <v>92</v>
      </c>
      <c r="G72" s="9" t="s">
        <v>29</v>
      </c>
      <c r="H72" s="9">
        <f t="shared" ref="H72:M72" si="15">SUM(H24:H71)</f>
        <v>179</v>
      </c>
      <c r="I72" s="9">
        <f t="shared" si="15"/>
        <v>215</v>
      </c>
      <c r="J72" s="9">
        <f t="shared" si="15"/>
        <v>189</v>
      </c>
      <c r="K72" s="9">
        <f t="shared" si="15"/>
        <v>117</v>
      </c>
      <c r="L72" s="9">
        <f t="shared" si="15"/>
        <v>134</v>
      </c>
      <c r="M72" s="9">
        <f t="shared" si="15"/>
        <v>112</v>
      </c>
      <c r="N72" s="9" t="s">
        <v>29</v>
      </c>
      <c r="O72" s="9">
        <f t="shared" ref="O72:T72" si="16">SUM(O24:O71)</f>
        <v>205</v>
      </c>
      <c r="P72" s="9">
        <f t="shared" si="16"/>
        <v>148</v>
      </c>
      <c r="Q72" s="9">
        <f t="shared" si="16"/>
        <v>151</v>
      </c>
      <c r="R72" s="9">
        <f t="shared" si="16"/>
        <v>92</v>
      </c>
      <c r="S72" s="9">
        <f t="shared" si="16"/>
        <v>92</v>
      </c>
      <c r="T72" s="9">
        <f t="shared" si="16"/>
        <v>77</v>
      </c>
      <c r="U72" s="9" t="s">
        <v>29</v>
      </c>
      <c r="V72" s="9">
        <f t="shared" ref="V72:AA72" si="17">SUM(V24:V71)</f>
        <v>165</v>
      </c>
      <c r="W72" s="9">
        <f t="shared" si="17"/>
        <v>183</v>
      </c>
      <c r="X72" s="9">
        <f t="shared" si="17"/>
        <v>191</v>
      </c>
      <c r="Y72" s="9">
        <f t="shared" si="17"/>
        <v>258</v>
      </c>
      <c r="Z72" s="9">
        <f t="shared" si="17"/>
        <v>101</v>
      </c>
      <c r="AA72" s="9">
        <f t="shared" si="17"/>
        <v>29</v>
      </c>
      <c r="AB72" s="9" t="s">
        <v>29</v>
      </c>
      <c r="AC72" s="9">
        <f t="shared" ref="AC72:AJ72" si="18">SUM(AC24:AC71)</f>
        <v>158</v>
      </c>
      <c r="AD72" s="9">
        <f t="shared" si="18"/>
        <v>284</v>
      </c>
      <c r="AE72" s="9">
        <f t="shared" si="18"/>
        <v>309</v>
      </c>
      <c r="AF72" s="9">
        <f t="shared" si="18"/>
        <v>279</v>
      </c>
      <c r="AG72" s="9">
        <f t="shared" si="18"/>
        <v>325</v>
      </c>
      <c r="AH72" s="9">
        <f t="shared" si="18"/>
        <v>117</v>
      </c>
      <c r="AI72" s="9">
        <f t="shared" si="18"/>
        <v>4555</v>
      </c>
      <c r="AJ72" s="33">
        <f t="shared" si="18"/>
        <v>4555</v>
      </c>
    </row>
    <row r="74" spans="1:36" s="5" customFormat="1" ht="12" x14ac:dyDescent="0.25">
      <c r="D74" s="1" t="s">
        <v>10</v>
      </c>
      <c r="E74" s="109" t="s">
        <v>11</v>
      </c>
      <c r="F74" s="109"/>
      <c r="G74" s="6"/>
      <c r="H74" s="1" t="s">
        <v>9</v>
      </c>
      <c r="I74" s="109" t="s">
        <v>12</v>
      </c>
      <c r="J74" s="109"/>
      <c r="K74" s="6"/>
      <c r="L74" s="1" t="s">
        <v>13</v>
      </c>
      <c r="M74" s="109" t="s">
        <v>14</v>
      </c>
      <c r="N74" s="109"/>
      <c r="O74" s="109"/>
      <c r="P74" s="109"/>
      <c r="Q74" s="109"/>
      <c r="R74" s="6"/>
      <c r="S74" s="1" t="s">
        <v>15</v>
      </c>
      <c r="T74" s="109" t="s">
        <v>16</v>
      </c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</row>
    <row r="75" spans="1:36" x14ac:dyDescent="0.25">
      <c r="H75" s="1" t="s">
        <v>55</v>
      </c>
      <c r="I75" s="109" t="s">
        <v>56</v>
      </c>
      <c r="J75" s="109"/>
    </row>
  </sheetData>
  <sortState xmlns:xlrd2="http://schemas.microsoft.com/office/spreadsheetml/2017/richdata2" ref="A36:AH71">
    <sortCondition ref="A4:A11"/>
  </sortState>
  <mergeCells count="70">
    <mergeCell ref="A1:AJ1"/>
    <mergeCell ref="A2:C3"/>
    <mergeCell ref="AI2:AJ3"/>
    <mergeCell ref="A12:C12"/>
    <mergeCell ref="AI12:AJ12"/>
    <mergeCell ref="A5:C5"/>
    <mergeCell ref="AI5:AJ5"/>
    <mergeCell ref="A9:C9"/>
    <mergeCell ref="AI9:AJ9"/>
    <mergeCell ref="A6:C6"/>
    <mergeCell ref="AI6:AJ6"/>
    <mergeCell ref="A8:C8"/>
    <mergeCell ref="AI8:AJ8"/>
    <mergeCell ref="A7:C7"/>
    <mergeCell ref="AI7:AJ7"/>
    <mergeCell ref="A4:C4"/>
    <mergeCell ref="A48:A53"/>
    <mergeCell ref="B48:B51"/>
    <mergeCell ref="AJ48:AJ53"/>
    <mergeCell ref="B52:B53"/>
    <mergeCell ref="AI4:AJ4"/>
    <mergeCell ref="A11:C11"/>
    <mergeCell ref="AI11:AJ11"/>
    <mergeCell ref="A16:A17"/>
    <mergeCell ref="B16:C17"/>
    <mergeCell ref="AI16:AI17"/>
    <mergeCell ref="AJ16:AJ17"/>
    <mergeCell ref="A10:C10"/>
    <mergeCell ref="AI10:AJ10"/>
    <mergeCell ref="A13:C13"/>
    <mergeCell ref="AI13:AJ13"/>
    <mergeCell ref="A15:AJ15"/>
    <mergeCell ref="A24:A29"/>
    <mergeCell ref="B24:B27"/>
    <mergeCell ref="AJ24:AJ29"/>
    <mergeCell ref="B28:B29"/>
    <mergeCell ref="A18:A23"/>
    <mergeCell ref="B18:B21"/>
    <mergeCell ref="AJ18:AJ23"/>
    <mergeCell ref="B22:B23"/>
    <mergeCell ref="A30:A35"/>
    <mergeCell ref="B30:B33"/>
    <mergeCell ref="AJ30:AJ35"/>
    <mergeCell ref="B34:B35"/>
    <mergeCell ref="A54:A59"/>
    <mergeCell ref="B54:B57"/>
    <mergeCell ref="AJ54:AJ59"/>
    <mergeCell ref="B58:B59"/>
    <mergeCell ref="A36:A41"/>
    <mergeCell ref="B36:B39"/>
    <mergeCell ref="AJ36:AJ41"/>
    <mergeCell ref="B40:B41"/>
    <mergeCell ref="A42:A47"/>
    <mergeCell ref="B42:B45"/>
    <mergeCell ref="AJ42:AJ47"/>
    <mergeCell ref="B46:B47"/>
    <mergeCell ref="A60:A65"/>
    <mergeCell ref="B60:B63"/>
    <mergeCell ref="AJ60:AJ65"/>
    <mergeCell ref="B64:B65"/>
    <mergeCell ref="I75:J75"/>
    <mergeCell ref="A66:A71"/>
    <mergeCell ref="B66:B69"/>
    <mergeCell ref="AJ66:AJ71"/>
    <mergeCell ref="B70:B71"/>
    <mergeCell ref="A72:C72"/>
    <mergeCell ref="E74:F74"/>
    <mergeCell ref="I74:J74"/>
    <mergeCell ref="M74:Q74"/>
    <mergeCell ref="T74:AJ74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B00F-722A-4709-9A8E-4B40532F6DDB}">
  <dimension ref="A1:AO75"/>
  <sheetViews>
    <sheetView zoomScale="110" zoomScaleNormal="110" workbookViewId="0">
      <selection activeCell="AH4" sqref="AH4:AI4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3.42578125" style="2" bestFit="1" customWidth="1"/>
    <col min="5" max="5" width="4" style="2" bestFit="1" customWidth="1"/>
    <col min="6" max="6" width="5" style="2" bestFit="1" customWidth="1"/>
    <col min="7" max="7" width="4" style="2" bestFit="1" customWidth="1"/>
    <col min="8" max="8" width="4.5703125" style="2" customWidth="1"/>
    <col min="9" max="9" width="4.7109375" style="2" customWidth="1"/>
    <col min="10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3.42578125" style="2" bestFit="1" customWidth="1"/>
    <col min="19" max="20" width="4" style="2" bestFit="1" customWidth="1"/>
    <col min="21" max="21" width="5" style="2" bestFit="1" customWidth="1"/>
    <col min="22" max="23" width="4" style="2" bestFit="1" customWidth="1"/>
    <col min="24" max="24" width="4.140625" style="2" bestFit="1" customWidth="1"/>
    <col min="25" max="25" width="3.42578125" style="2" bestFit="1" customWidth="1"/>
    <col min="26" max="26" width="4.140625" style="2" customWidth="1"/>
    <col min="27" max="27" width="5" style="2" bestFit="1" customWidth="1"/>
    <col min="28" max="29" width="4" style="2" bestFit="1" customWidth="1"/>
    <col min="30" max="30" width="3.7109375" style="2" customWidth="1"/>
    <col min="31" max="31" width="4.42578125" style="2" bestFit="1" customWidth="1"/>
    <col min="32" max="32" width="3.42578125" style="2" bestFit="1" customWidth="1"/>
    <col min="33" max="33" width="4.85546875" style="2" customWidth="1"/>
    <col min="34" max="34" width="5" style="2" customWidth="1"/>
    <col min="35" max="35" width="6.140625" style="2" customWidth="1"/>
    <col min="36" max="36" width="7.85546875" style="2" customWidth="1"/>
    <col min="37" max="16384" width="9.140625" style="2"/>
  </cols>
  <sheetData>
    <row r="1" spans="1:41" ht="22.5" customHeight="1" thickBot="1" x14ac:dyDescent="0.3">
      <c r="A1" s="76" t="s">
        <v>63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41" ht="59.25" customHeight="1" x14ac:dyDescent="0.25">
      <c r="A2" s="77" t="s">
        <v>0</v>
      </c>
      <c r="B2" s="112"/>
      <c r="C2" s="78"/>
      <c r="D2" s="11">
        <v>45809</v>
      </c>
      <c r="E2" s="11">
        <v>45810</v>
      </c>
      <c r="F2" s="11">
        <v>45811</v>
      </c>
      <c r="G2" s="11">
        <v>45812</v>
      </c>
      <c r="H2" s="11">
        <v>45813</v>
      </c>
      <c r="I2" s="11">
        <v>45814</v>
      </c>
      <c r="J2" s="11">
        <v>45815</v>
      </c>
      <c r="K2" s="11">
        <v>45816</v>
      </c>
      <c r="L2" s="11">
        <v>45817</v>
      </c>
      <c r="M2" s="11">
        <v>45818</v>
      </c>
      <c r="N2" s="11">
        <v>45819</v>
      </c>
      <c r="O2" s="11">
        <v>45820</v>
      </c>
      <c r="P2" s="11">
        <v>45821</v>
      </c>
      <c r="Q2" s="11">
        <v>45822</v>
      </c>
      <c r="R2" s="11">
        <v>45823</v>
      </c>
      <c r="S2" s="11">
        <v>45824</v>
      </c>
      <c r="T2" s="11">
        <v>45825</v>
      </c>
      <c r="U2" s="11">
        <v>45826</v>
      </c>
      <c r="V2" s="11">
        <v>45827</v>
      </c>
      <c r="W2" s="11">
        <v>45828</v>
      </c>
      <c r="X2" s="11">
        <v>45829</v>
      </c>
      <c r="Y2" s="11">
        <v>45830</v>
      </c>
      <c r="Z2" s="11">
        <v>45831</v>
      </c>
      <c r="AA2" s="11">
        <v>45832</v>
      </c>
      <c r="AB2" s="11">
        <v>45833</v>
      </c>
      <c r="AC2" s="11">
        <v>45834</v>
      </c>
      <c r="AD2" s="11">
        <v>45835</v>
      </c>
      <c r="AE2" s="11">
        <v>45836</v>
      </c>
      <c r="AF2" s="11">
        <v>45837</v>
      </c>
      <c r="AG2" s="11">
        <v>45838</v>
      </c>
      <c r="AH2" s="81" t="s">
        <v>1</v>
      </c>
      <c r="AI2" s="82"/>
    </row>
    <row r="3" spans="1:41" ht="71.25" customHeight="1" x14ac:dyDescent="0.25">
      <c r="A3" s="79"/>
      <c r="B3" s="113"/>
      <c r="C3" s="80"/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2</v>
      </c>
      <c r="L3" s="12" t="s">
        <v>3</v>
      </c>
      <c r="M3" s="12" t="s">
        <v>4</v>
      </c>
      <c r="N3" s="12" t="s">
        <v>5</v>
      </c>
      <c r="O3" s="12" t="s">
        <v>6</v>
      </c>
      <c r="P3" s="12" t="s">
        <v>7</v>
      </c>
      <c r="Q3" s="12" t="s">
        <v>8</v>
      </c>
      <c r="R3" s="12" t="s">
        <v>2</v>
      </c>
      <c r="S3" s="12" t="s">
        <v>3</v>
      </c>
      <c r="T3" s="12" t="s">
        <v>4</v>
      </c>
      <c r="U3" s="12" t="s">
        <v>5</v>
      </c>
      <c r="V3" s="12" t="s">
        <v>6</v>
      </c>
      <c r="W3" s="12" t="s">
        <v>7</v>
      </c>
      <c r="X3" s="12" t="s">
        <v>8</v>
      </c>
      <c r="Y3" s="12" t="s">
        <v>2</v>
      </c>
      <c r="Z3" s="12" t="s">
        <v>3</v>
      </c>
      <c r="AA3" s="12" t="s">
        <v>4</v>
      </c>
      <c r="AB3" s="12" t="s">
        <v>5</v>
      </c>
      <c r="AC3" s="12" t="s">
        <v>6</v>
      </c>
      <c r="AD3" s="12" t="s">
        <v>7</v>
      </c>
      <c r="AE3" s="12" t="s">
        <v>8</v>
      </c>
      <c r="AF3" s="12" t="s">
        <v>2</v>
      </c>
      <c r="AG3" s="12" t="s">
        <v>3</v>
      </c>
      <c r="AH3" s="83"/>
      <c r="AI3" s="84"/>
      <c r="AO3" s="2" t="s">
        <v>62</v>
      </c>
    </row>
    <row r="4" spans="1:41" x14ac:dyDescent="0.25">
      <c r="A4" s="72" t="s">
        <v>34</v>
      </c>
      <c r="B4" s="114"/>
      <c r="C4" s="73"/>
      <c r="D4" s="3" t="s">
        <v>9</v>
      </c>
      <c r="E4" s="13">
        <v>88</v>
      </c>
      <c r="F4" s="13">
        <v>137</v>
      </c>
      <c r="G4" s="3">
        <v>112</v>
      </c>
      <c r="H4" s="13">
        <v>116</v>
      </c>
      <c r="I4" s="3">
        <v>43</v>
      </c>
      <c r="J4" s="3">
        <v>80</v>
      </c>
      <c r="K4" s="3" t="s">
        <v>9</v>
      </c>
      <c r="L4" s="3">
        <v>97</v>
      </c>
      <c r="M4" s="3">
        <v>97</v>
      </c>
      <c r="N4" s="3">
        <v>57</v>
      </c>
      <c r="O4" s="18">
        <v>21</v>
      </c>
      <c r="P4" s="18">
        <v>21</v>
      </c>
      <c r="Q4" s="18" t="s">
        <v>9</v>
      </c>
      <c r="R4" s="3" t="s">
        <v>9</v>
      </c>
      <c r="S4" s="13">
        <v>9</v>
      </c>
      <c r="T4" s="18">
        <v>41</v>
      </c>
      <c r="U4" s="3">
        <v>272</v>
      </c>
      <c r="V4" s="17">
        <v>215</v>
      </c>
      <c r="W4" s="13">
        <v>130</v>
      </c>
      <c r="X4" s="3">
        <v>69</v>
      </c>
      <c r="Y4" s="3" t="s">
        <v>9</v>
      </c>
      <c r="Z4" s="13">
        <v>190</v>
      </c>
      <c r="AA4" s="3">
        <v>278</v>
      </c>
      <c r="AB4" s="3">
        <v>180</v>
      </c>
      <c r="AC4" s="13">
        <v>176</v>
      </c>
      <c r="AD4" s="13">
        <v>8</v>
      </c>
      <c r="AE4" s="13" t="s">
        <v>9</v>
      </c>
      <c r="AF4" s="3" t="s">
        <v>9</v>
      </c>
      <c r="AG4" s="18">
        <v>311</v>
      </c>
      <c r="AH4" s="74">
        <f t="shared" ref="AH4:AH10" si="0">SUM(D4:AG4)</f>
        <v>2748</v>
      </c>
      <c r="AI4" s="75"/>
    </row>
    <row r="5" spans="1:41" x14ac:dyDescent="0.25">
      <c r="A5" s="72" t="s">
        <v>38</v>
      </c>
      <c r="B5" s="114"/>
      <c r="C5" s="73"/>
      <c r="D5" s="3" t="s">
        <v>9</v>
      </c>
      <c r="E5" s="3">
        <v>133</v>
      </c>
      <c r="F5" s="3">
        <v>189</v>
      </c>
      <c r="G5" s="3">
        <v>132</v>
      </c>
      <c r="H5" s="3" t="s">
        <v>37</v>
      </c>
      <c r="I5" s="3">
        <v>58</v>
      </c>
      <c r="J5" s="3" t="s">
        <v>9</v>
      </c>
      <c r="K5" s="3" t="s">
        <v>9</v>
      </c>
      <c r="L5" s="3">
        <v>96</v>
      </c>
      <c r="M5" s="3">
        <v>48</v>
      </c>
      <c r="N5" s="3">
        <v>56</v>
      </c>
      <c r="O5" s="17">
        <v>72</v>
      </c>
      <c r="P5" s="17">
        <v>41</v>
      </c>
      <c r="Q5" s="18">
        <v>48</v>
      </c>
      <c r="R5" s="3" t="s">
        <v>9</v>
      </c>
      <c r="S5" s="3">
        <v>74</v>
      </c>
      <c r="T5" s="3">
        <v>64</v>
      </c>
      <c r="U5" s="3">
        <v>140</v>
      </c>
      <c r="V5" s="17">
        <v>183</v>
      </c>
      <c r="W5" s="3">
        <v>117</v>
      </c>
      <c r="X5" s="3" t="s">
        <v>9</v>
      </c>
      <c r="Y5" s="3" t="s">
        <v>9</v>
      </c>
      <c r="Z5" s="3">
        <v>104</v>
      </c>
      <c r="AA5" s="3">
        <v>127</v>
      </c>
      <c r="AB5" s="3">
        <v>144</v>
      </c>
      <c r="AC5" s="3" t="s">
        <v>37</v>
      </c>
      <c r="AD5" s="3">
        <v>91</v>
      </c>
      <c r="AE5" s="3">
        <v>93</v>
      </c>
      <c r="AF5" s="3" t="s">
        <v>9</v>
      </c>
      <c r="AG5" s="17">
        <v>253</v>
      </c>
      <c r="AH5" s="74">
        <f>SUM(D5:AG5)</f>
        <v>2263</v>
      </c>
      <c r="AI5" s="75"/>
    </row>
    <row r="6" spans="1:41" x14ac:dyDescent="0.25">
      <c r="A6" s="72" t="s">
        <v>32</v>
      </c>
      <c r="B6" s="114"/>
      <c r="C6" s="73"/>
      <c r="D6" s="3" t="s">
        <v>9</v>
      </c>
      <c r="E6" s="3">
        <v>160</v>
      </c>
      <c r="F6" s="3">
        <v>128</v>
      </c>
      <c r="G6" s="3">
        <v>150</v>
      </c>
      <c r="H6" s="3">
        <v>132</v>
      </c>
      <c r="I6" s="3">
        <v>111</v>
      </c>
      <c r="J6" s="3">
        <v>104</v>
      </c>
      <c r="K6" s="3" t="s">
        <v>9</v>
      </c>
      <c r="L6" s="3">
        <v>114</v>
      </c>
      <c r="M6" s="3">
        <v>53</v>
      </c>
      <c r="N6" s="3">
        <v>101</v>
      </c>
      <c r="O6" s="3">
        <v>31</v>
      </c>
      <c r="P6" s="3" t="s">
        <v>9</v>
      </c>
      <c r="Q6" s="3" t="s">
        <v>9</v>
      </c>
      <c r="R6" s="3" t="s">
        <v>9</v>
      </c>
      <c r="S6" s="3">
        <v>20</v>
      </c>
      <c r="T6" s="3">
        <v>59</v>
      </c>
      <c r="U6" s="3">
        <v>85</v>
      </c>
      <c r="V6" s="3" t="s">
        <v>37</v>
      </c>
      <c r="W6" s="3">
        <v>143</v>
      </c>
      <c r="X6" s="3">
        <v>133</v>
      </c>
      <c r="Y6" s="3" t="s">
        <v>9</v>
      </c>
      <c r="Z6" s="3">
        <v>135</v>
      </c>
      <c r="AA6" s="3">
        <v>266</v>
      </c>
      <c r="AB6" s="3">
        <v>148</v>
      </c>
      <c r="AC6" s="3">
        <v>86</v>
      </c>
      <c r="AD6" s="3">
        <v>77</v>
      </c>
      <c r="AE6" s="3" t="s">
        <v>9</v>
      </c>
      <c r="AF6" s="3" t="s">
        <v>9</v>
      </c>
      <c r="AG6" s="3">
        <v>7</v>
      </c>
      <c r="AH6" s="74">
        <f t="shared" si="0"/>
        <v>2243</v>
      </c>
      <c r="AI6" s="75"/>
    </row>
    <row r="7" spans="1:41" x14ac:dyDescent="0.25">
      <c r="A7" s="72" t="s">
        <v>33</v>
      </c>
      <c r="B7" s="114"/>
      <c r="C7" s="73"/>
      <c r="D7" s="3" t="s">
        <v>10</v>
      </c>
      <c r="E7" s="3" t="s">
        <v>10</v>
      </c>
      <c r="F7" s="3" t="s">
        <v>10</v>
      </c>
      <c r="G7" s="3">
        <v>74</v>
      </c>
      <c r="H7" s="3">
        <v>55</v>
      </c>
      <c r="I7" s="3">
        <v>57</v>
      </c>
      <c r="J7" s="3">
        <v>130</v>
      </c>
      <c r="K7" s="3" t="s">
        <v>9</v>
      </c>
      <c r="L7" s="3">
        <v>88</v>
      </c>
      <c r="M7" s="3">
        <v>49</v>
      </c>
      <c r="N7" s="3">
        <v>49</v>
      </c>
      <c r="O7" s="3">
        <v>20</v>
      </c>
      <c r="P7" s="3">
        <v>18</v>
      </c>
      <c r="Q7" s="3" t="s">
        <v>9</v>
      </c>
      <c r="R7" s="3" t="s">
        <v>9</v>
      </c>
      <c r="S7" s="3">
        <v>12</v>
      </c>
      <c r="T7" s="3">
        <v>61</v>
      </c>
      <c r="U7" s="3">
        <v>178</v>
      </c>
      <c r="V7" s="3">
        <v>124</v>
      </c>
      <c r="W7" s="3">
        <v>98</v>
      </c>
      <c r="X7" s="3">
        <v>66</v>
      </c>
      <c r="Y7" s="3" t="s">
        <v>9</v>
      </c>
      <c r="Z7" s="3">
        <v>185</v>
      </c>
      <c r="AA7" s="3">
        <v>194</v>
      </c>
      <c r="AB7" s="3">
        <v>164</v>
      </c>
      <c r="AC7" s="3">
        <v>106</v>
      </c>
      <c r="AD7" s="3">
        <v>4</v>
      </c>
      <c r="AE7" s="3">
        <v>108</v>
      </c>
      <c r="AF7" s="3" t="s">
        <v>9</v>
      </c>
      <c r="AG7" s="3">
        <v>276</v>
      </c>
      <c r="AH7" s="74">
        <f t="shared" si="0"/>
        <v>2116</v>
      </c>
      <c r="AI7" s="75"/>
    </row>
    <row r="8" spans="1:41" x14ac:dyDescent="0.25">
      <c r="A8" s="72" t="s">
        <v>36</v>
      </c>
      <c r="B8" s="114"/>
      <c r="C8" s="73"/>
      <c r="D8" s="3" t="s">
        <v>9</v>
      </c>
      <c r="E8" s="3">
        <v>103</v>
      </c>
      <c r="F8" s="13">
        <v>114</v>
      </c>
      <c r="G8" s="3">
        <v>84</v>
      </c>
      <c r="H8" s="3">
        <v>178</v>
      </c>
      <c r="I8" s="13">
        <v>15</v>
      </c>
      <c r="J8" s="3" t="s">
        <v>9</v>
      </c>
      <c r="K8" s="3" t="s">
        <v>9</v>
      </c>
      <c r="L8" s="3">
        <v>89</v>
      </c>
      <c r="M8" s="3">
        <v>20</v>
      </c>
      <c r="N8" s="3">
        <v>33</v>
      </c>
      <c r="O8" s="17">
        <v>24</v>
      </c>
      <c r="P8" s="17">
        <v>29</v>
      </c>
      <c r="Q8" s="3">
        <v>32</v>
      </c>
      <c r="R8" s="3" t="s">
        <v>9</v>
      </c>
      <c r="S8" s="3">
        <v>52</v>
      </c>
      <c r="T8" s="13">
        <v>26</v>
      </c>
      <c r="U8" s="3">
        <v>24</v>
      </c>
      <c r="V8" s="17">
        <v>25</v>
      </c>
      <c r="W8" s="17">
        <v>46</v>
      </c>
      <c r="X8" s="3" t="s">
        <v>9</v>
      </c>
      <c r="Y8" s="3" t="s">
        <v>9</v>
      </c>
      <c r="Z8" s="3">
        <v>33</v>
      </c>
      <c r="AA8" s="3">
        <v>34</v>
      </c>
      <c r="AB8" s="3">
        <v>41</v>
      </c>
      <c r="AC8" s="13">
        <v>152</v>
      </c>
      <c r="AD8" s="13">
        <v>129</v>
      </c>
      <c r="AE8" s="13">
        <v>118</v>
      </c>
      <c r="AF8" s="3" t="s">
        <v>9</v>
      </c>
      <c r="AG8" s="17">
        <v>150</v>
      </c>
      <c r="AH8" s="74">
        <f>SUM(D8:AG8)</f>
        <v>1551</v>
      </c>
      <c r="AI8" s="75"/>
    </row>
    <row r="9" spans="1:41" x14ac:dyDescent="0.25">
      <c r="A9" s="72" t="s">
        <v>35</v>
      </c>
      <c r="B9" s="114"/>
      <c r="C9" s="73"/>
      <c r="D9" s="3" t="s">
        <v>9</v>
      </c>
      <c r="E9" s="3">
        <v>80</v>
      </c>
      <c r="F9" s="3">
        <v>109</v>
      </c>
      <c r="G9" s="3">
        <v>92</v>
      </c>
      <c r="H9" s="3">
        <v>59</v>
      </c>
      <c r="I9" s="3">
        <v>50</v>
      </c>
      <c r="J9" s="3" t="s">
        <v>9</v>
      </c>
      <c r="K9" s="3" t="s">
        <v>9</v>
      </c>
      <c r="L9" s="3">
        <v>67</v>
      </c>
      <c r="M9" s="3">
        <v>49</v>
      </c>
      <c r="N9" s="3">
        <v>41</v>
      </c>
      <c r="O9" s="17">
        <v>17</v>
      </c>
      <c r="P9" s="17" t="s">
        <v>9</v>
      </c>
      <c r="Q9" s="3" t="s">
        <v>9</v>
      </c>
      <c r="R9" s="3" t="s">
        <v>9</v>
      </c>
      <c r="S9" s="3">
        <v>25</v>
      </c>
      <c r="T9" s="3">
        <v>43</v>
      </c>
      <c r="U9" s="3">
        <v>88</v>
      </c>
      <c r="V9" s="17">
        <v>67</v>
      </c>
      <c r="W9" s="3">
        <v>63</v>
      </c>
      <c r="X9" s="3" t="s">
        <v>9</v>
      </c>
      <c r="Y9" s="3" t="s">
        <v>9</v>
      </c>
      <c r="Z9" s="3">
        <v>130</v>
      </c>
      <c r="AA9" s="3">
        <v>144</v>
      </c>
      <c r="AB9" s="3">
        <v>112</v>
      </c>
      <c r="AC9" s="3">
        <v>41</v>
      </c>
      <c r="AD9" s="3">
        <v>17</v>
      </c>
      <c r="AE9" s="3" t="s">
        <v>9</v>
      </c>
      <c r="AF9" s="3" t="s">
        <v>9</v>
      </c>
      <c r="AG9" s="17">
        <v>194</v>
      </c>
      <c r="AH9" s="74">
        <f>SUM(D9:AG9)</f>
        <v>1488</v>
      </c>
      <c r="AI9" s="75"/>
    </row>
    <row r="10" spans="1:41" x14ac:dyDescent="0.25">
      <c r="A10" s="72" t="s">
        <v>23</v>
      </c>
      <c r="B10" s="114"/>
      <c r="C10" s="73"/>
      <c r="D10" s="3" t="s">
        <v>9</v>
      </c>
      <c r="E10" s="3">
        <v>121</v>
      </c>
      <c r="F10" s="3">
        <v>73</v>
      </c>
      <c r="G10" s="3">
        <v>100</v>
      </c>
      <c r="H10" s="3">
        <v>64</v>
      </c>
      <c r="I10" s="13">
        <v>35</v>
      </c>
      <c r="J10" s="3" t="s">
        <v>9</v>
      </c>
      <c r="K10" s="3" t="s">
        <v>9</v>
      </c>
      <c r="L10" s="3">
        <v>111</v>
      </c>
      <c r="M10" s="3">
        <v>46</v>
      </c>
      <c r="N10" s="3">
        <v>63</v>
      </c>
      <c r="O10" s="17">
        <v>64</v>
      </c>
      <c r="P10" s="17">
        <v>28</v>
      </c>
      <c r="Q10" s="3">
        <v>43</v>
      </c>
      <c r="R10" s="3" t="s">
        <v>9</v>
      </c>
      <c r="S10" s="3">
        <v>62</v>
      </c>
      <c r="T10" s="3">
        <v>46</v>
      </c>
      <c r="U10" s="3">
        <v>104</v>
      </c>
      <c r="V10" s="17" t="s">
        <v>30</v>
      </c>
      <c r="W10" s="3">
        <v>76</v>
      </c>
      <c r="X10" s="3" t="s">
        <v>9</v>
      </c>
      <c r="Y10" s="3" t="s">
        <v>9</v>
      </c>
      <c r="Z10" s="3">
        <v>117</v>
      </c>
      <c r="AA10" s="3">
        <v>117</v>
      </c>
      <c r="AB10" s="3" t="s">
        <v>29</v>
      </c>
      <c r="AC10" s="3" t="s">
        <v>29</v>
      </c>
      <c r="AD10" s="3" t="s">
        <v>29</v>
      </c>
      <c r="AE10" s="3" t="s">
        <v>29</v>
      </c>
      <c r="AF10" s="3" t="s">
        <v>29</v>
      </c>
      <c r="AG10" s="3" t="s">
        <v>29</v>
      </c>
      <c r="AH10" s="74">
        <f t="shared" si="0"/>
        <v>1270</v>
      </c>
      <c r="AI10" s="75"/>
    </row>
    <row r="11" spans="1:41" x14ac:dyDescent="0.25">
      <c r="A11" s="72" t="s">
        <v>22</v>
      </c>
      <c r="B11" s="114"/>
      <c r="C11" s="73"/>
      <c r="D11" s="3" t="s">
        <v>9</v>
      </c>
      <c r="E11" s="3">
        <v>66</v>
      </c>
      <c r="F11" s="3">
        <v>96</v>
      </c>
      <c r="G11" s="3">
        <v>5</v>
      </c>
      <c r="H11" s="3">
        <v>26</v>
      </c>
      <c r="I11" s="13">
        <v>3</v>
      </c>
      <c r="J11" s="3" t="s">
        <v>9</v>
      </c>
      <c r="K11" s="3" t="s">
        <v>9</v>
      </c>
      <c r="L11" s="3">
        <v>42</v>
      </c>
      <c r="M11" s="3">
        <v>20</v>
      </c>
      <c r="N11" s="3">
        <v>20</v>
      </c>
      <c r="O11" s="17">
        <v>21</v>
      </c>
      <c r="P11" s="17">
        <v>11</v>
      </c>
      <c r="Q11" s="3">
        <v>25</v>
      </c>
      <c r="R11" s="3" t="s">
        <v>9</v>
      </c>
      <c r="S11" s="3">
        <v>24</v>
      </c>
      <c r="T11" s="3">
        <v>27</v>
      </c>
      <c r="U11" s="3">
        <v>119</v>
      </c>
      <c r="V11" s="17">
        <v>71</v>
      </c>
      <c r="W11" s="3">
        <v>58</v>
      </c>
      <c r="X11" s="3" t="s">
        <v>9</v>
      </c>
      <c r="Y11" s="3" t="s">
        <v>9</v>
      </c>
      <c r="Z11" s="3">
        <v>99</v>
      </c>
      <c r="AA11" s="3">
        <v>136</v>
      </c>
      <c r="AB11" s="3">
        <v>88</v>
      </c>
      <c r="AC11" s="3">
        <v>42</v>
      </c>
      <c r="AD11" s="3">
        <v>3</v>
      </c>
      <c r="AE11" s="3">
        <v>8</v>
      </c>
      <c r="AF11" s="3" t="s">
        <v>9</v>
      </c>
      <c r="AG11" s="3" t="s">
        <v>9</v>
      </c>
      <c r="AH11" s="74">
        <f t="shared" ref="AH11" si="1">SUM(D11:AG11)</f>
        <v>1010</v>
      </c>
      <c r="AI11" s="75"/>
    </row>
    <row r="12" spans="1:41" x14ac:dyDescent="0.25">
      <c r="A12" s="72" t="s">
        <v>39</v>
      </c>
      <c r="B12" s="114"/>
      <c r="C12" s="73"/>
      <c r="D12" s="3" t="s">
        <v>9</v>
      </c>
      <c r="E12" s="3">
        <v>80</v>
      </c>
      <c r="F12" s="3">
        <v>164</v>
      </c>
      <c r="G12" s="3">
        <v>133</v>
      </c>
      <c r="H12" s="3">
        <v>83</v>
      </c>
      <c r="I12" s="13">
        <v>33</v>
      </c>
      <c r="J12" s="3" t="s">
        <v>9</v>
      </c>
      <c r="K12" s="3" t="s">
        <v>9</v>
      </c>
      <c r="L12" s="3">
        <v>106</v>
      </c>
      <c r="M12" s="3">
        <v>73</v>
      </c>
      <c r="N12" s="3">
        <v>52</v>
      </c>
      <c r="O12" s="17">
        <v>15</v>
      </c>
      <c r="P12" s="17">
        <v>12</v>
      </c>
      <c r="Q12" s="13" t="s">
        <v>9</v>
      </c>
      <c r="R12" s="3" t="s">
        <v>9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  <c r="AB12" s="3" t="s">
        <v>30</v>
      </c>
      <c r="AC12" s="3" t="s">
        <v>30</v>
      </c>
      <c r="AD12" s="3" t="s">
        <v>30</v>
      </c>
      <c r="AE12" s="3" t="s">
        <v>30</v>
      </c>
      <c r="AF12" s="3" t="s">
        <v>30</v>
      </c>
      <c r="AG12" s="3" t="s">
        <v>30</v>
      </c>
      <c r="AH12" s="74">
        <f t="shared" ref="AH12" si="2">SUM(D12:AG12)</f>
        <v>751</v>
      </c>
      <c r="AI12" s="75"/>
    </row>
    <row r="13" spans="1:41" ht="13.5" thickBot="1" x14ac:dyDescent="0.3">
      <c r="A13" s="92" t="s">
        <v>1</v>
      </c>
      <c r="B13" s="115"/>
      <c r="C13" s="93"/>
      <c r="D13" s="10" t="s">
        <v>29</v>
      </c>
      <c r="E13" s="10">
        <f t="shared" ref="E13:J13" si="3">SUM(E4:E12)</f>
        <v>831</v>
      </c>
      <c r="F13" s="10">
        <f t="shared" si="3"/>
        <v>1010</v>
      </c>
      <c r="G13" s="10">
        <f t="shared" si="3"/>
        <v>882</v>
      </c>
      <c r="H13" s="10">
        <f t="shared" si="3"/>
        <v>713</v>
      </c>
      <c r="I13" s="10">
        <f t="shared" si="3"/>
        <v>405</v>
      </c>
      <c r="J13" s="10">
        <f t="shared" si="3"/>
        <v>314</v>
      </c>
      <c r="K13" s="10" t="s">
        <v>29</v>
      </c>
      <c r="L13" s="10">
        <f t="shared" ref="L13:Q13" si="4">SUM(L4:L12)</f>
        <v>810</v>
      </c>
      <c r="M13" s="10">
        <f t="shared" si="4"/>
        <v>455</v>
      </c>
      <c r="N13" s="10">
        <f t="shared" si="4"/>
        <v>472</v>
      </c>
      <c r="O13" s="10">
        <f t="shared" si="4"/>
        <v>285</v>
      </c>
      <c r="P13" s="10">
        <f t="shared" si="4"/>
        <v>160</v>
      </c>
      <c r="Q13" s="10">
        <f t="shared" si="4"/>
        <v>148</v>
      </c>
      <c r="R13" s="10" t="s">
        <v>29</v>
      </c>
      <c r="S13" s="10">
        <f t="shared" ref="S13:X13" si="5">SUM(S4:S12)</f>
        <v>278</v>
      </c>
      <c r="T13" s="10">
        <f t="shared" si="5"/>
        <v>367</v>
      </c>
      <c r="U13" s="10">
        <f t="shared" si="5"/>
        <v>1010</v>
      </c>
      <c r="V13" s="10">
        <f t="shared" si="5"/>
        <v>685</v>
      </c>
      <c r="W13" s="10">
        <f t="shared" si="5"/>
        <v>731</v>
      </c>
      <c r="X13" s="10">
        <f t="shared" si="5"/>
        <v>268</v>
      </c>
      <c r="Y13" s="10" t="s">
        <v>29</v>
      </c>
      <c r="Z13" s="10">
        <f t="shared" ref="Z13:AE13" si="6">SUM(Z4:Z12)</f>
        <v>993</v>
      </c>
      <c r="AA13" s="10">
        <f t="shared" si="6"/>
        <v>1296</v>
      </c>
      <c r="AB13" s="10">
        <f t="shared" si="6"/>
        <v>877</v>
      </c>
      <c r="AC13" s="10">
        <f t="shared" si="6"/>
        <v>603</v>
      </c>
      <c r="AD13" s="10">
        <f t="shared" si="6"/>
        <v>329</v>
      </c>
      <c r="AE13" s="10">
        <f t="shared" si="6"/>
        <v>327</v>
      </c>
      <c r="AF13" s="10" t="s">
        <v>29</v>
      </c>
      <c r="AG13" s="10">
        <f>SUM(AG4:AG12)</f>
        <v>1191</v>
      </c>
      <c r="AH13" s="116">
        <f>SUM(D13:AG13)</f>
        <v>15440</v>
      </c>
      <c r="AI13" s="117"/>
      <c r="AJ13" s="4"/>
    </row>
    <row r="14" spans="1:41" ht="13.5" thickBot="1" x14ac:dyDescent="0.3"/>
    <row r="15" spans="1:41" ht="22.5" customHeight="1" thickBot="1" x14ac:dyDescent="0.3">
      <c r="A15" s="96" t="s">
        <v>64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</row>
    <row r="16" spans="1:41" ht="57" customHeight="1" thickBot="1" x14ac:dyDescent="0.3">
      <c r="A16" s="97" t="s">
        <v>0</v>
      </c>
      <c r="B16" s="132" t="s">
        <v>17</v>
      </c>
      <c r="C16" s="133"/>
      <c r="D16" s="11">
        <v>45809</v>
      </c>
      <c r="E16" s="11">
        <v>45810</v>
      </c>
      <c r="F16" s="11">
        <v>45811</v>
      </c>
      <c r="G16" s="11">
        <v>45812</v>
      </c>
      <c r="H16" s="11">
        <v>45813</v>
      </c>
      <c r="I16" s="11">
        <v>45814</v>
      </c>
      <c r="J16" s="11">
        <v>45815</v>
      </c>
      <c r="K16" s="11">
        <v>45816</v>
      </c>
      <c r="L16" s="11">
        <v>45817</v>
      </c>
      <c r="M16" s="11">
        <v>45818</v>
      </c>
      <c r="N16" s="11">
        <v>45819</v>
      </c>
      <c r="O16" s="11">
        <v>45820</v>
      </c>
      <c r="P16" s="11">
        <v>45821</v>
      </c>
      <c r="Q16" s="11">
        <v>45822</v>
      </c>
      <c r="R16" s="11">
        <v>45823</v>
      </c>
      <c r="S16" s="11">
        <v>45824</v>
      </c>
      <c r="T16" s="11">
        <v>45825</v>
      </c>
      <c r="U16" s="11">
        <v>45826</v>
      </c>
      <c r="V16" s="11">
        <v>45827</v>
      </c>
      <c r="W16" s="11">
        <v>45828</v>
      </c>
      <c r="X16" s="11">
        <v>45829</v>
      </c>
      <c r="Y16" s="11">
        <v>45830</v>
      </c>
      <c r="Z16" s="11">
        <v>45831</v>
      </c>
      <c r="AA16" s="11">
        <v>45832</v>
      </c>
      <c r="AB16" s="11">
        <v>45833</v>
      </c>
      <c r="AC16" s="11">
        <v>45834</v>
      </c>
      <c r="AD16" s="11">
        <v>45835</v>
      </c>
      <c r="AE16" s="11">
        <v>45836</v>
      </c>
      <c r="AF16" s="11">
        <v>45837</v>
      </c>
      <c r="AG16" s="11">
        <v>45838</v>
      </c>
      <c r="AH16" s="101" t="s">
        <v>28</v>
      </c>
      <c r="AI16" s="103" t="s">
        <v>27</v>
      </c>
    </row>
    <row r="17" spans="1:35" ht="70.5" customHeight="1" thickBot="1" x14ac:dyDescent="0.3">
      <c r="A17" s="98"/>
      <c r="B17" s="146"/>
      <c r="C17" s="147"/>
      <c r="D17" s="12" t="s">
        <v>2</v>
      </c>
      <c r="E17" s="12" t="s">
        <v>3</v>
      </c>
      <c r="F17" s="12" t="s">
        <v>4</v>
      </c>
      <c r="G17" s="12" t="s">
        <v>5</v>
      </c>
      <c r="H17" s="12" t="s">
        <v>6</v>
      </c>
      <c r="I17" s="12" t="s">
        <v>7</v>
      </c>
      <c r="J17" s="12" t="s">
        <v>8</v>
      </c>
      <c r="K17" s="12" t="s">
        <v>2</v>
      </c>
      <c r="L17" s="12" t="s">
        <v>3</v>
      </c>
      <c r="M17" s="12" t="s">
        <v>4</v>
      </c>
      <c r="N17" s="12" t="s">
        <v>5</v>
      </c>
      <c r="O17" s="12" t="s">
        <v>6</v>
      </c>
      <c r="P17" s="12" t="s">
        <v>7</v>
      </c>
      <c r="Q17" s="12" t="s">
        <v>8</v>
      </c>
      <c r="R17" s="12" t="s">
        <v>2</v>
      </c>
      <c r="S17" s="12" t="s">
        <v>3</v>
      </c>
      <c r="T17" s="12" t="s">
        <v>4</v>
      </c>
      <c r="U17" s="12" t="s">
        <v>5</v>
      </c>
      <c r="V17" s="12" t="s">
        <v>6</v>
      </c>
      <c r="W17" s="12" t="s">
        <v>7</v>
      </c>
      <c r="X17" s="12" t="s">
        <v>8</v>
      </c>
      <c r="Y17" s="12" t="s">
        <v>2</v>
      </c>
      <c r="Z17" s="12" t="s">
        <v>3</v>
      </c>
      <c r="AA17" s="12" t="s">
        <v>4</v>
      </c>
      <c r="AB17" s="12" t="s">
        <v>5</v>
      </c>
      <c r="AC17" s="12" t="s">
        <v>6</v>
      </c>
      <c r="AD17" s="12" t="s">
        <v>7</v>
      </c>
      <c r="AE17" s="12" t="s">
        <v>8</v>
      </c>
      <c r="AF17" s="12" t="s">
        <v>2</v>
      </c>
      <c r="AG17" s="12" t="s">
        <v>3</v>
      </c>
      <c r="AH17" s="102"/>
      <c r="AI17" s="104"/>
    </row>
    <row r="18" spans="1:35" x14ac:dyDescent="0.25">
      <c r="A18" s="106" t="s">
        <v>35</v>
      </c>
      <c r="B18" s="124" t="s">
        <v>18</v>
      </c>
      <c r="C18" s="29" t="s">
        <v>48</v>
      </c>
      <c r="D18" s="7" t="s">
        <v>9</v>
      </c>
      <c r="E18" s="7">
        <v>25</v>
      </c>
      <c r="F18" s="7">
        <v>7</v>
      </c>
      <c r="G18" s="7">
        <v>19</v>
      </c>
      <c r="H18" s="7">
        <v>9</v>
      </c>
      <c r="I18" s="7">
        <v>13</v>
      </c>
      <c r="J18" s="7" t="s">
        <v>9</v>
      </c>
      <c r="K18" s="7" t="s">
        <v>9</v>
      </c>
      <c r="L18" s="7">
        <v>10</v>
      </c>
      <c r="M18" s="7">
        <v>1</v>
      </c>
      <c r="N18" s="7">
        <v>10</v>
      </c>
      <c r="O18" s="7">
        <v>1</v>
      </c>
      <c r="P18" s="20" t="s">
        <v>9</v>
      </c>
      <c r="Q18" s="20" t="s">
        <v>9</v>
      </c>
      <c r="R18" s="7" t="s">
        <v>9</v>
      </c>
      <c r="S18" s="7">
        <v>0</v>
      </c>
      <c r="T18" s="7">
        <v>0</v>
      </c>
      <c r="U18" s="7">
        <v>3</v>
      </c>
      <c r="V18" s="7">
        <v>13</v>
      </c>
      <c r="W18" s="7">
        <v>25</v>
      </c>
      <c r="X18" s="7" t="s">
        <v>9</v>
      </c>
      <c r="Y18" s="7" t="s">
        <v>9</v>
      </c>
      <c r="Z18" s="7">
        <v>15</v>
      </c>
      <c r="AA18" s="7">
        <v>6</v>
      </c>
      <c r="AB18" s="7">
        <v>50</v>
      </c>
      <c r="AC18" s="7">
        <v>9</v>
      </c>
      <c r="AD18" s="7">
        <v>0</v>
      </c>
      <c r="AE18" s="7" t="s">
        <v>9</v>
      </c>
      <c r="AF18" s="7" t="s">
        <v>9</v>
      </c>
      <c r="AG18" s="7">
        <v>19</v>
      </c>
      <c r="AH18" s="27">
        <f t="shared" ref="AH18:AH23" si="7">SUM(D18:AG18)</f>
        <v>235</v>
      </c>
      <c r="AI18" s="85">
        <f>SUM(AH18:AH23)</f>
        <v>783</v>
      </c>
    </row>
    <row r="19" spans="1:35" x14ac:dyDescent="0.25">
      <c r="A19" s="123"/>
      <c r="B19" s="125"/>
      <c r="C19" s="32" t="s">
        <v>50</v>
      </c>
      <c r="D19" s="14" t="s">
        <v>9</v>
      </c>
      <c r="E19" s="14">
        <v>17</v>
      </c>
      <c r="F19" s="14">
        <v>7</v>
      </c>
      <c r="G19" s="14">
        <v>6</v>
      </c>
      <c r="H19" s="14">
        <v>21</v>
      </c>
      <c r="I19" s="14">
        <v>8</v>
      </c>
      <c r="J19" s="14" t="s">
        <v>9</v>
      </c>
      <c r="K19" s="14" t="s">
        <v>9</v>
      </c>
      <c r="L19" s="14">
        <v>8</v>
      </c>
      <c r="M19" s="14">
        <v>16</v>
      </c>
      <c r="N19" s="14">
        <v>9</v>
      </c>
      <c r="O19" s="14">
        <v>15</v>
      </c>
      <c r="P19" s="22" t="s">
        <v>9</v>
      </c>
      <c r="Q19" s="22" t="s">
        <v>9</v>
      </c>
      <c r="R19" s="14" t="s">
        <v>9</v>
      </c>
      <c r="S19" s="14">
        <v>11</v>
      </c>
      <c r="T19" s="14">
        <v>8</v>
      </c>
      <c r="U19" s="14">
        <v>9</v>
      </c>
      <c r="V19" s="14">
        <v>18</v>
      </c>
      <c r="W19" s="14">
        <v>14</v>
      </c>
      <c r="X19" s="14" t="s">
        <v>9</v>
      </c>
      <c r="Y19" s="14" t="s">
        <v>9</v>
      </c>
      <c r="Z19" s="14">
        <v>14</v>
      </c>
      <c r="AA19" s="14">
        <v>8</v>
      </c>
      <c r="AB19" s="14">
        <v>30</v>
      </c>
      <c r="AC19" s="14">
        <v>11</v>
      </c>
      <c r="AD19" s="14">
        <v>10</v>
      </c>
      <c r="AE19" s="14" t="s">
        <v>9</v>
      </c>
      <c r="AF19" s="14" t="s">
        <v>9</v>
      </c>
      <c r="AG19" s="14">
        <v>13</v>
      </c>
      <c r="AH19" s="28">
        <f t="shared" si="7"/>
        <v>253</v>
      </c>
      <c r="AI19" s="122"/>
    </row>
    <row r="20" spans="1:35" x14ac:dyDescent="0.25">
      <c r="A20" s="123"/>
      <c r="B20" s="125"/>
      <c r="C20" s="32" t="s">
        <v>49</v>
      </c>
      <c r="D20" s="14" t="s">
        <v>9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 t="s">
        <v>9</v>
      </c>
      <c r="K20" s="14" t="s">
        <v>9</v>
      </c>
      <c r="L20" s="14">
        <v>0</v>
      </c>
      <c r="M20" s="14">
        <v>0</v>
      </c>
      <c r="N20" s="14">
        <v>0</v>
      </c>
      <c r="O20" s="14">
        <v>0</v>
      </c>
      <c r="P20" s="22" t="s">
        <v>9</v>
      </c>
      <c r="Q20" s="22" t="s">
        <v>9</v>
      </c>
      <c r="R20" s="14" t="s">
        <v>9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 t="s">
        <v>9</v>
      </c>
      <c r="Y20" s="14" t="s">
        <v>9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 t="s">
        <v>9</v>
      </c>
      <c r="AF20" s="14" t="s">
        <v>9</v>
      </c>
      <c r="AG20" s="14">
        <v>0</v>
      </c>
      <c r="AH20" s="28">
        <f t="shared" si="7"/>
        <v>0</v>
      </c>
      <c r="AI20" s="122"/>
    </row>
    <row r="21" spans="1:35" x14ac:dyDescent="0.25">
      <c r="A21" s="123"/>
      <c r="B21" s="126"/>
      <c r="C21" s="32" t="s">
        <v>51</v>
      </c>
      <c r="D21" s="14" t="s">
        <v>9</v>
      </c>
      <c r="E21" s="14">
        <v>5</v>
      </c>
      <c r="F21" s="14">
        <v>3</v>
      </c>
      <c r="G21" s="14">
        <v>1</v>
      </c>
      <c r="H21" s="14">
        <v>2</v>
      </c>
      <c r="I21" s="14">
        <v>3</v>
      </c>
      <c r="J21" s="14" t="s">
        <v>9</v>
      </c>
      <c r="K21" s="14" t="s">
        <v>9</v>
      </c>
      <c r="L21" s="14">
        <v>3</v>
      </c>
      <c r="M21" s="14">
        <v>2</v>
      </c>
      <c r="N21" s="14">
        <v>4</v>
      </c>
      <c r="O21" s="14">
        <v>6</v>
      </c>
      <c r="P21" s="22" t="s">
        <v>9</v>
      </c>
      <c r="Q21" s="22" t="s">
        <v>9</v>
      </c>
      <c r="R21" s="14" t="s">
        <v>9</v>
      </c>
      <c r="S21" s="14">
        <v>6</v>
      </c>
      <c r="T21" s="14">
        <v>3</v>
      </c>
      <c r="U21" s="14">
        <v>1</v>
      </c>
      <c r="V21" s="14">
        <v>2</v>
      </c>
      <c r="W21" s="14">
        <v>1</v>
      </c>
      <c r="X21" s="14" t="s">
        <v>9</v>
      </c>
      <c r="Y21" s="14" t="s">
        <v>9</v>
      </c>
      <c r="Z21" s="14">
        <v>0</v>
      </c>
      <c r="AA21" s="14">
        <v>0</v>
      </c>
      <c r="AB21" s="14">
        <v>2</v>
      </c>
      <c r="AC21" s="14">
        <v>4</v>
      </c>
      <c r="AD21" s="14">
        <v>1</v>
      </c>
      <c r="AE21" s="14" t="s">
        <v>9</v>
      </c>
      <c r="AF21" s="14" t="s">
        <v>9</v>
      </c>
      <c r="AG21" s="14">
        <v>2</v>
      </c>
      <c r="AH21" s="28">
        <f t="shared" si="7"/>
        <v>51</v>
      </c>
      <c r="AI21" s="122"/>
    </row>
    <row r="22" spans="1:35" x14ac:dyDescent="0.25">
      <c r="A22" s="72"/>
      <c r="B22" s="127" t="s">
        <v>45</v>
      </c>
      <c r="C22" s="30" t="s">
        <v>46</v>
      </c>
      <c r="D22" s="3" t="s">
        <v>9</v>
      </c>
      <c r="E22" s="3">
        <v>11</v>
      </c>
      <c r="F22" s="3">
        <v>20</v>
      </c>
      <c r="G22" s="3">
        <v>17</v>
      </c>
      <c r="H22" s="3">
        <v>6</v>
      </c>
      <c r="I22" s="3">
        <v>6</v>
      </c>
      <c r="J22" s="3" t="s">
        <v>9</v>
      </c>
      <c r="K22" s="3" t="s">
        <v>9</v>
      </c>
      <c r="L22" s="3">
        <v>2</v>
      </c>
      <c r="M22" s="3">
        <v>7</v>
      </c>
      <c r="N22" s="3">
        <v>11</v>
      </c>
      <c r="O22" s="3">
        <v>9</v>
      </c>
      <c r="P22" s="17" t="s">
        <v>9</v>
      </c>
      <c r="Q22" s="17" t="s">
        <v>9</v>
      </c>
      <c r="R22" s="3" t="s">
        <v>9</v>
      </c>
      <c r="S22" s="3">
        <v>11</v>
      </c>
      <c r="T22" s="3">
        <v>7</v>
      </c>
      <c r="U22" s="3">
        <v>10</v>
      </c>
      <c r="V22" s="3">
        <v>13</v>
      </c>
      <c r="W22" s="3">
        <v>15</v>
      </c>
      <c r="X22" s="3" t="s">
        <v>9</v>
      </c>
      <c r="Y22" s="3" t="s">
        <v>9</v>
      </c>
      <c r="Z22" s="3">
        <v>22</v>
      </c>
      <c r="AA22" s="3">
        <v>7</v>
      </c>
      <c r="AB22" s="3">
        <v>35</v>
      </c>
      <c r="AC22" s="3">
        <v>13</v>
      </c>
      <c r="AD22" s="3">
        <v>3</v>
      </c>
      <c r="AE22" s="3" t="s">
        <v>9</v>
      </c>
      <c r="AF22" s="3" t="s">
        <v>9</v>
      </c>
      <c r="AG22" s="3">
        <v>11</v>
      </c>
      <c r="AH22" s="28">
        <f t="shared" si="7"/>
        <v>236</v>
      </c>
      <c r="AI22" s="86"/>
    </row>
    <row r="23" spans="1:35" ht="13.5" thickBot="1" x14ac:dyDescent="0.3">
      <c r="A23" s="107"/>
      <c r="B23" s="128"/>
      <c r="C23" s="31" t="s">
        <v>47</v>
      </c>
      <c r="D23" s="8" t="s">
        <v>9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 t="s">
        <v>9</v>
      </c>
      <c r="K23" s="8" t="s">
        <v>9</v>
      </c>
      <c r="L23" s="8">
        <v>2</v>
      </c>
      <c r="M23" s="8">
        <v>1</v>
      </c>
      <c r="N23" s="8">
        <v>1</v>
      </c>
      <c r="O23" s="3">
        <v>0</v>
      </c>
      <c r="P23" s="21" t="s">
        <v>9</v>
      </c>
      <c r="Q23" s="21" t="s">
        <v>9</v>
      </c>
      <c r="R23" s="8" t="s">
        <v>9</v>
      </c>
      <c r="S23" s="8">
        <v>1</v>
      </c>
      <c r="T23" s="8">
        <v>0</v>
      </c>
      <c r="U23" s="8">
        <v>1</v>
      </c>
      <c r="V23" s="8">
        <v>1</v>
      </c>
      <c r="W23" s="8">
        <v>0</v>
      </c>
      <c r="X23" s="8" t="s">
        <v>9</v>
      </c>
      <c r="Y23" s="8" t="s">
        <v>9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 t="s">
        <v>9</v>
      </c>
      <c r="AF23" s="8" t="s">
        <v>9</v>
      </c>
      <c r="AG23" s="8">
        <v>0</v>
      </c>
      <c r="AH23" s="26">
        <f t="shared" si="7"/>
        <v>8</v>
      </c>
      <c r="AI23" s="87"/>
    </row>
    <row r="24" spans="1:35" x14ac:dyDescent="0.25">
      <c r="A24" s="89" t="s">
        <v>36</v>
      </c>
      <c r="B24" s="136" t="s">
        <v>18</v>
      </c>
      <c r="C24" s="29" t="s">
        <v>48</v>
      </c>
      <c r="D24" s="7" t="s">
        <v>9</v>
      </c>
      <c r="E24" s="7">
        <v>5</v>
      </c>
      <c r="F24" s="7">
        <v>15</v>
      </c>
      <c r="G24" s="7">
        <v>1</v>
      </c>
      <c r="H24" s="7">
        <v>0</v>
      </c>
      <c r="I24" s="7">
        <v>2</v>
      </c>
      <c r="J24" s="7" t="s">
        <v>9</v>
      </c>
      <c r="K24" s="7" t="s">
        <v>9</v>
      </c>
      <c r="L24" s="7">
        <v>4</v>
      </c>
      <c r="M24" s="7">
        <v>31</v>
      </c>
      <c r="N24" s="7">
        <v>19</v>
      </c>
      <c r="O24" s="7">
        <v>2</v>
      </c>
      <c r="P24" s="7">
        <v>0</v>
      </c>
      <c r="Q24" s="7">
        <v>0</v>
      </c>
      <c r="R24" s="7" t="s">
        <v>9</v>
      </c>
      <c r="S24" s="7">
        <v>0</v>
      </c>
      <c r="T24" s="7">
        <v>5</v>
      </c>
      <c r="U24" s="7">
        <v>1</v>
      </c>
      <c r="V24" s="7">
        <v>5</v>
      </c>
      <c r="W24" s="7">
        <v>2</v>
      </c>
      <c r="X24" s="7" t="s">
        <v>9</v>
      </c>
      <c r="Y24" s="7" t="s">
        <v>9</v>
      </c>
      <c r="Z24" s="7">
        <v>1</v>
      </c>
      <c r="AA24" s="7">
        <v>2</v>
      </c>
      <c r="AB24" s="7">
        <v>0</v>
      </c>
      <c r="AC24" s="7">
        <v>3</v>
      </c>
      <c r="AD24" s="7">
        <v>2</v>
      </c>
      <c r="AE24" s="7">
        <v>6</v>
      </c>
      <c r="AF24" s="7" t="s">
        <v>9</v>
      </c>
      <c r="AG24" s="7">
        <v>3</v>
      </c>
      <c r="AH24" s="27">
        <f t="shared" ref="AH24:AH29" si="8">SUM(D24:AG24)</f>
        <v>109</v>
      </c>
      <c r="AI24" s="85">
        <f>SUM(AH24:AH29)</f>
        <v>711</v>
      </c>
    </row>
    <row r="25" spans="1:35" x14ac:dyDescent="0.25">
      <c r="A25" s="121"/>
      <c r="B25" s="137"/>
      <c r="C25" s="32" t="s">
        <v>50</v>
      </c>
      <c r="D25" s="14" t="s">
        <v>9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 t="s">
        <v>9</v>
      </c>
      <c r="K25" s="14" t="s">
        <v>9</v>
      </c>
      <c r="L25" s="14">
        <v>0</v>
      </c>
      <c r="M25" s="14">
        <v>0</v>
      </c>
      <c r="N25" s="14">
        <v>0</v>
      </c>
      <c r="O25" s="14">
        <v>0</v>
      </c>
      <c r="P25" s="14">
        <v>1</v>
      </c>
      <c r="Q25" s="14">
        <v>0</v>
      </c>
      <c r="R25" s="14" t="s">
        <v>9</v>
      </c>
      <c r="S25" s="14">
        <v>1</v>
      </c>
      <c r="T25" s="14">
        <v>1</v>
      </c>
      <c r="U25" s="14">
        <v>0</v>
      </c>
      <c r="V25" s="14">
        <v>0</v>
      </c>
      <c r="W25" s="14">
        <v>4</v>
      </c>
      <c r="X25" s="14" t="s">
        <v>9</v>
      </c>
      <c r="Y25" s="14" t="s">
        <v>9</v>
      </c>
      <c r="Z25" s="14">
        <v>1</v>
      </c>
      <c r="AA25" s="14">
        <v>0</v>
      </c>
      <c r="AB25" s="14">
        <v>0</v>
      </c>
      <c r="AC25" s="14">
        <v>0</v>
      </c>
      <c r="AD25" s="14">
        <v>0</v>
      </c>
      <c r="AE25" s="14">
        <v>1</v>
      </c>
      <c r="AF25" s="14" t="s">
        <v>9</v>
      </c>
      <c r="AG25" s="14">
        <v>0</v>
      </c>
      <c r="AH25" s="28">
        <f t="shared" si="8"/>
        <v>10</v>
      </c>
      <c r="AI25" s="122"/>
    </row>
    <row r="26" spans="1:35" x14ac:dyDescent="0.25">
      <c r="A26" s="121"/>
      <c r="B26" s="137"/>
      <c r="C26" s="32" t="s">
        <v>49</v>
      </c>
      <c r="D26" s="14" t="s">
        <v>9</v>
      </c>
      <c r="E26" s="14">
        <v>3</v>
      </c>
      <c r="F26" s="14">
        <v>35</v>
      </c>
      <c r="G26" s="14">
        <v>5</v>
      </c>
      <c r="H26" s="14">
        <v>24</v>
      </c>
      <c r="I26" s="14">
        <v>19</v>
      </c>
      <c r="J26" s="14" t="s">
        <v>9</v>
      </c>
      <c r="K26" s="14" t="s">
        <v>9</v>
      </c>
      <c r="L26" s="14">
        <v>16</v>
      </c>
      <c r="M26" s="14">
        <v>9</v>
      </c>
      <c r="N26" s="14">
        <v>2</v>
      </c>
      <c r="O26" s="14">
        <v>22</v>
      </c>
      <c r="P26" s="14">
        <v>18</v>
      </c>
      <c r="Q26" s="14">
        <v>18</v>
      </c>
      <c r="R26" s="14" t="s">
        <v>9</v>
      </c>
      <c r="S26" s="14">
        <v>24</v>
      </c>
      <c r="T26" s="14">
        <v>17</v>
      </c>
      <c r="U26" s="14">
        <v>9</v>
      </c>
      <c r="V26" s="14">
        <v>13</v>
      </c>
      <c r="W26" s="14">
        <v>9</v>
      </c>
      <c r="X26" s="14" t="s">
        <v>9</v>
      </c>
      <c r="Y26" s="14" t="s">
        <v>9</v>
      </c>
      <c r="Z26" s="14">
        <v>2</v>
      </c>
      <c r="AA26" s="14">
        <v>9</v>
      </c>
      <c r="AB26" s="14">
        <v>8</v>
      </c>
      <c r="AC26" s="14">
        <v>35</v>
      </c>
      <c r="AD26" s="14">
        <v>20</v>
      </c>
      <c r="AE26" s="14">
        <v>6</v>
      </c>
      <c r="AF26" s="14" t="s">
        <v>9</v>
      </c>
      <c r="AG26" s="14">
        <v>4</v>
      </c>
      <c r="AH26" s="28">
        <f t="shared" si="8"/>
        <v>327</v>
      </c>
      <c r="AI26" s="122"/>
    </row>
    <row r="27" spans="1:35" x14ac:dyDescent="0.25">
      <c r="A27" s="121"/>
      <c r="B27" s="138"/>
      <c r="C27" s="32" t="s">
        <v>51</v>
      </c>
      <c r="D27" s="14" t="s">
        <v>9</v>
      </c>
      <c r="E27" s="14">
        <v>9</v>
      </c>
      <c r="F27" s="14">
        <v>11</v>
      </c>
      <c r="G27" s="14">
        <v>5</v>
      </c>
      <c r="H27" s="14">
        <v>5</v>
      </c>
      <c r="I27" s="14">
        <v>6</v>
      </c>
      <c r="J27" s="14" t="s">
        <v>9</v>
      </c>
      <c r="K27" s="14" t="s">
        <v>9</v>
      </c>
      <c r="L27" s="14">
        <v>8</v>
      </c>
      <c r="M27" s="14">
        <v>0</v>
      </c>
      <c r="N27" s="14">
        <v>8</v>
      </c>
      <c r="O27" s="14">
        <v>9</v>
      </c>
      <c r="P27" s="14">
        <v>1</v>
      </c>
      <c r="Q27" s="14">
        <v>0</v>
      </c>
      <c r="R27" s="14" t="s">
        <v>9</v>
      </c>
      <c r="S27" s="14">
        <v>0</v>
      </c>
      <c r="T27" s="14">
        <v>2</v>
      </c>
      <c r="U27" s="14">
        <v>0</v>
      </c>
      <c r="V27" s="14">
        <v>2</v>
      </c>
      <c r="W27" s="14">
        <v>0</v>
      </c>
      <c r="X27" s="14" t="s">
        <v>9</v>
      </c>
      <c r="Y27" s="14" t="s">
        <v>9</v>
      </c>
      <c r="Z27" s="14">
        <v>0</v>
      </c>
      <c r="AA27" s="14">
        <v>2</v>
      </c>
      <c r="AB27" s="14">
        <v>2</v>
      </c>
      <c r="AC27" s="14">
        <v>4</v>
      </c>
      <c r="AD27" s="14">
        <v>1</v>
      </c>
      <c r="AE27" s="14">
        <v>1</v>
      </c>
      <c r="AF27" s="14" t="s">
        <v>9</v>
      </c>
      <c r="AG27" s="14">
        <v>5</v>
      </c>
      <c r="AH27" s="28">
        <f t="shared" si="8"/>
        <v>81</v>
      </c>
      <c r="AI27" s="122"/>
    </row>
    <row r="28" spans="1:35" x14ac:dyDescent="0.25">
      <c r="A28" s="90"/>
      <c r="B28" s="139" t="s">
        <v>45</v>
      </c>
      <c r="C28" s="30" t="s">
        <v>46</v>
      </c>
      <c r="D28" s="3" t="s">
        <v>9</v>
      </c>
      <c r="E28" s="3">
        <v>15</v>
      </c>
      <c r="F28" s="3">
        <v>19</v>
      </c>
      <c r="G28" s="3">
        <v>5</v>
      </c>
      <c r="H28" s="3">
        <v>9</v>
      </c>
      <c r="I28" s="3">
        <v>6</v>
      </c>
      <c r="J28" s="3" t="s">
        <v>9</v>
      </c>
      <c r="K28" s="3" t="s">
        <v>9</v>
      </c>
      <c r="L28" s="3">
        <v>11</v>
      </c>
      <c r="M28" s="3">
        <v>27</v>
      </c>
      <c r="N28" s="3">
        <v>23</v>
      </c>
      <c r="O28" s="3">
        <v>6</v>
      </c>
      <c r="P28" s="3">
        <v>2</v>
      </c>
      <c r="Q28" s="3">
        <v>2</v>
      </c>
      <c r="R28" s="3" t="s">
        <v>9</v>
      </c>
      <c r="S28" s="3">
        <v>3</v>
      </c>
      <c r="T28" s="3">
        <v>4</v>
      </c>
      <c r="U28" s="3">
        <v>1</v>
      </c>
      <c r="V28" s="3">
        <v>7</v>
      </c>
      <c r="W28" s="3">
        <v>3</v>
      </c>
      <c r="X28" s="3" t="s">
        <v>9</v>
      </c>
      <c r="Y28" s="3" t="s">
        <v>9</v>
      </c>
      <c r="Z28" s="3">
        <v>0</v>
      </c>
      <c r="AA28" s="3">
        <v>4</v>
      </c>
      <c r="AB28" s="3">
        <v>3</v>
      </c>
      <c r="AC28" s="3">
        <v>8</v>
      </c>
      <c r="AD28" s="3">
        <v>2</v>
      </c>
      <c r="AE28" s="3">
        <v>9</v>
      </c>
      <c r="AF28" s="3" t="s">
        <v>9</v>
      </c>
      <c r="AG28" s="3">
        <v>6</v>
      </c>
      <c r="AH28" s="28">
        <f t="shared" si="8"/>
        <v>175</v>
      </c>
      <c r="AI28" s="86"/>
    </row>
    <row r="29" spans="1:35" ht="13.5" thickBot="1" x14ac:dyDescent="0.3">
      <c r="A29" s="91"/>
      <c r="B29" s="140"/>
      <c r="C29" s="31" t="s">
        <v>47</v>
      </c>
      <c r="D29" s="8" t="s">
        <v>9</v>
      </c>
      <c r="E29" s="8">
        <v>0</v>
      </c>
      <c r="F29" s="8">
        <v>1</v>
      </c>
      <c r="G29" s="8">
        <v>0</v>
      </c>
      <c r="H29" s="8">
        <v>1</v>
      </c>
      <c r="I29" s="8">
        <v>0</v>
      </c>
      <c r="J29" s="8" t="s">
        <v>9</v>
      </c>
      <c r="K29" s="8" t="s">
        <v>9</v>
      </c>
      <c r="L29" s="8">
        <v>1</v>
      </c>
      <c r="M29" s="8">
        <v>1</v>
      </c>
      <c r="N29" s="8">
        <v>4</v>
      </c>
      <c r="O29" s="3">
        <v>0</v>
      </c>
      <c r="P29" s="8">
        <v>0</v>
      </c>
      <c r="Q29" s="8">
        <v>0</v>
      </c>
      <c r="R29" s="8" t="s">
        <v>9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 t="s">
        <v>9</v>
      </c>
      <c r="Y29" s="8" t="s">
        <v>9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9</v>
      </c>
      <c r="AG29" s="8">
        <v>1</v>
      </c>
      <c r="AH29" s="26">
        <f t="shared" si="8"/>
        <v>9</v>
      </c>
      <c r="AI29" s="87"/>
    </row>
    <row r="30" spans="1:35" x14ac:dyDescent="0.25">
      <c r="A30" s="89" t="s">
        <v>34</v>
      </c>
      <c r="B30" s="124" t="s">
        <v>18</v>
      </c>
      <c r="C30" s="29" t="s">
        <v>48</v>
      </c>
      <c r="D30" s="7" t="s">
        <v>9</v>
      </c>
      <c r="E30" s="7">
        <v>36</v>
      </c>
      <c r="F30" s="7">
        <v>10</v>
      </c>
      <c r="G30" s="7">
        <v>8</v>
      </c>
      <c r="H30" s="7">
        <v>3</v>
      </c>
      <c r="I30" s="7">
        <v>9</v>
      </c>
      <c r="J30" s="7">
        <v>11</v>
      </c>
      <c r="K30" s="7" t="s">
        <v>9</v>
      </c>
      <c r="L30" s="7">
        <v>3</v>
      </c>
      <c r="M30" s="7">
        <v>1</v>
      </c>
      <c r="N30" s="7">
        <v>10</v>
      </c>
      <c r="O30" s="7">
        <v>1</v>
      </c>
      <c r="P30" s="7">
        <v>2</v>
      </c>
      <c r="Q30" s="20" t="s">
        <v>9</v>
      </c>
      <c r="R30" s="7" t="s">
        <v>9</v>
      </c>
      <c r="S30" s="7">
        <v>0</v>
      </c>
      <c r="T30" s="7">
        <v>0</v>
      </c>
      <c r="U30" s="7">
        <v>3</v>
      </c>
      <c r="V30" s="14">
        <v>5</v>
      </c>
      <c r="W30" s="7">
        <v>14</v>
      </c>
      <c r="X30" s="7">
        <v>15</v>
      </c>
      <c r="Y30" s="7" t="s">
        <v>9</v>
      </c>
      <c r="Z30" s="7">
        <v>12</v>
      </c>
      <c r="AA30" s="7">
        <v>4</v>
      </c>
      <c r="AB30" s="7">
        <v>5</v>
      </c>
      <c r="AC30" s="7">
        <v>12</v>
      </c>
      <c r="AD30" s="7">
        <v>16</v>
      </c>
      <c r="AE30" s="7" t="s">
        <v>9</v>
      </c>
      <c r="AF30" s="7" t="s">
        <v>9</v>
      </c>
      <c r="AG30" s="7">
        <v>16</v>
      </c>
      <c r="AH30" s="27">
        <f t="shared" ref="AH30:AH35" si="9">SUM(D30:AG30)</f>
        <v>196</v>
      </c>
      <c r="AI30" s="85">
        <f>SUM(AH30:AH35)</f>
        <v>593</v>
      </c>
    </row>
    <row r="31" spans="1:35" x14ac:dyDescent="0.25">
      <c r="A31" s="121"/>
      <c r="B31" s="125"/>
      <c r="C31" s="32" t="s">
        <v>50</v>
      </c>
      <c r="D31" s="14" t="s">
        <v>9</v>
      </c>
      <c r="E31" s="14">
        <v>6</v>
      </c>
      <c r="F31" s="14">
        <v>6</v>
      </c>
      <c r="G31" s="14">
        <v>12</v>
      </c>
      <c r="H31" s="14">
        <v>12</v>
      </c>
      <c r="I31" s="14">
        <v>4</v>
      </c>
      <c r="J31" s="14">
        <v>5</v>
      </c>
      <c r="K31" s="14" t="s">
        <v>9</v>
      </c>
      <c r="L31" s="14">
        <v>9</v>
      </c>
      <c r="M31" s="14">
        <v>6</v>
      </c>
      <c r="N31" s="14">
        <v>11</v>
      </c>
      <c r="O31" s="14">
        <v>9</v>
      </c>
      <c r="P31" s="14">
        <v>10</v>
      </c>
      <c r="Q31" s="22" t="s">
        <v>9</v>
      </c>
      <c r="R31" s="14" t="s">
        <v>9</v>
      </c>
      <c r="S31" s="14">
        <v>20</v>
      </c>
      <c r="T31" s="14">
        <v>12</v>
      </c>
      <c r="U31" s="14">
        <v>12</v>
      </c>
      <c r="V31" s="2">
        <v>9</v>
      </c>
      <c r="W31" s="14">
        <v>9</v>
      </c>
      <c r="X31" s="14">
        <v>7</v>
      </c>
      <c r="Y31" s="14" t="s">
        <v>9</v>
      </c>
      <c r="Z31" s="14">
        <v>16</v>
      </c>
      <c r="AA31" s="14">
        <v>10</v>
      </c>
      <c r="AB31" s="14">
        <v>11</v>
      </c>
      <c r="AC31" s="14">
        <v>12</v>
      </c>
      <c r="AD31" s="14">
        <v>5</v>
      </c>
      <c r="AE31" s="14" t="s">
        <v>9</v>
      </c>
      <c r="AF31" s="14" t="s">
        <v>9</v>
      </c>
      <c r="AG31" s="14">
        <v>17</v>
      </c>
      <c r="AH31" s="28">
        <f t="shared" si="9"/>
        <v>230</v>
      </c>
      <c r="AI31" s="122"/>
    </row>
    <row r="32" spans="1:35" x14ac:dyDescent="0.25">
      <c r="A32" s="121"/>
      <c r="B32" s="125"/>
      <c r="C32" s="32" t="s">
        <v>49</v>
      </c>
      <c r="D32" s="14" t="s">
        <v>9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9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22" t="s">
        <v>9</v>
      </c>
      <c r="R32" s="14" t="s">
        <v>9</v>
      </c>
      <c r="S32" s="14">
        <v>0</v>
      </c>
      <c r="T32" s="14">
        <v>0</v>
      </c>
      <c r="U32" s="14">
        <v>0</v>
      </c>
      <c r="V32" s="3">
        <v>0</v>
      </c>
      <c r="W32" s="14">
        <v>0</v>
      </c>
      <c r="X32" s="14">
        <v>0</v>
      </c>
      <c r="Y32" s="14" t="s">
        <v>9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 t="s">
        <v>9</v>
      </c>
      <c r="AF32" s="14" t="s">
        <v>9</v>
      </c>
      <c r="AG32" s="14">
        <v>0</v>
      </c>
      <c r="AH32" s="28">
        <f t="shared" si="9"/>
        <v>0</v>
      </c>
      <c r="AI32" s="122"/>
    </row>
    <row r="33" spans="1:35" x14ac:dyDescent="0.25">
      <c r="A33" s="121"/>
      <c r="B33" s="126"/>
      <c r="C33" s="32" t="s">
        <v>51</v>
      </c>
      <c r="D33" s="14" t="s">
        <v>9</v>
      </c>
      <c r="E33" s="14">
        <v>2</v>
      </c>
      <c r="F33" s="14">
        <v>4</v>
      </c>
      <c r="G33" s="14">
        <v>0</v>
      </c>
      <c r="H33" s="14">
        <v>1</v>
      </c>
      <c r="I33" s="14">
        <v>0</v>
      </c>
      <c r="J33" s="14">
        <v>3</v>
      </c>
      <c r="K33" s="14" t="s">
        <v>9</v>
      </c>
      <c r="L33" s="14">
        <v>2</v>
      </c>
      <c r="M33" s="14">
        <v>0</v>
      </c>
      <c r="N33" s="14">
        <v>0</v>
      </c>
      <c r="O33" s="14">
        <v>1</v>
      </c>
      <c r="P33" s="14">
        <v>0</v>
      </c>
      <c r="Q33" s="22" t="s">
        <v>9</v>
      </c>
      <c r="R33" s="14" t="s">
        <v>9</v>
      </c>
      <c r="S33" s="14">
        <v>2</v>
      </c>
      <c r="T33" s="14">
        <v>1</v>
      </c>
      <c r="U33" s="14">
        <v>0</v>
      </c>
      <c r="V33" s="14">
        <v>3</v>
      </c>
      <c r="W33" s="14">
        <v>1</v>
      </c>
      <c r="X33" s="14">
        <v>0</v>
      </c>
      <c r="Y33" s="14" t="s">
        <v>9</v>
      </c>
      <c r="Z33" s="14">
        <v>2</v>
      </c>
      <c r="AA33" s="14">
        <v>0</v>
      </c>
      <c r="AB33" s="14">
        <v>2</v>
      </c>
      <c r="AC33" s="14">
        <v>1</v>
      </c>
      <c r="AD33" s="14">
        <v>1</v>
      </c>
      <c r="AE33" s="14" t="s">
        <v>9</v>
      </c>
      <c r="AF33" s="14" t="s">
        <v>9</v>
      </c>
      <c r="AG33" s="14">
        <v>1</v>
      </c>
      <c r="AH33" s="28">
        <f t="shared" si="9"/>
        <v>27</v>
      </c>
      <c r="AI33" s="122"/>
    </row>
    <row r="34" spans="1:35" x14ac:dyDescent="0.25">
      <c r="A34" s="90"/>
      <c r="B34" s="127" t="s">
        <v>45</v>
      </c>
      <c r="C34" s="30" t="s">
        <v>46</v>
      </c>
      <c r="D34" s="3" t="s">
        <v>9</v>
      </c>
      <c r="E34" s="3">
        <v>5</v>
      </c>
      <c r="F34" s="3">
        <v>9</v>
      </c>
      <c r="G34" s="3">
        <v>5</v>
      </c>
      <c r="H34" s="3">
        <v>3</v>
      </c>
      <c r="I34" s="3">
        <v>3</v>
      </c>
      <c r="J34" s="3">
        <v>7</v>
      </c>
      <c r="K34" s="3" t="s">
        <v>9</v>
      </c>
      <c r="L34" s="3">
        <v>3</v>
      </c>
      <c r="M34" s="3">
        <v>3</v>
      </c>
      <c r="N34" s="3">
        <v>4</v>
      </c>
      <c r="O34" s="3">
        <v>7</v>
      </c>
      <c r="P34" s="3">
        <v>4</v>
      </c>
      <c r="Q34" s="17" t="s">
        <v>9</v>
      </c>
      <c r="R34" s="3" t="s">
        <v>9</v>
      </c>
      <c r="S34" s="3">
        <v>5</v>
      </c>
      <c r="T34" s="3">
        <v>7</v>
      </c>
      <c r="U34" s="3">
        <v>8</v>
      </c>
      <c r="V34" s="3">
        <v>4</v>
      </c>
      <c r="W34" s="3">
        <v>12</v>
      </c>
      <c r="X34" s="3">
        <v>12</v>
      </c>
      <c r="Y34" s="3" t="s">
        <v>9</v>
      </c>
      <c r="Z34" s="3">
        <v>3</v>
      </c>
      <c r="AA34" s="3">
        <v>3</v>
      </c>
      <c r="AB34" s="3">
        <v>14</v>
      </c>
      <c r="AC34" s="3">
        <v>2</v>
      </c>
      <c r="AD34" s="3">
        <v>3</v>
      </c>
      <c r="AE34" s="3" t="s">
        <v>9</v>
      </c>
      <c r="AF34" s="3" t="s">
        <v>9</v>
      </c>
      <c r="AG34" s="3">
        <v>5</v>
      </c>
      <c r="AH34" s="28">
        <f t="shared" si="9"/>
        <v>131</v>
      </c>
      <c r="AI34" s="86"/>
    </row>
    <row r="35" spans="1:35" ht="13.5" thickBot="1" x14ac:dyDescent="0.3">
      <c r="A35" s="91"/>
      <c r="B35" s="128"/>
      <c r="C35" s="31" t="s">
        <v>47</v>
      </c>
      <c r="D35" s="8" t="s">
        <v>9</v>
      </c>
      <c r="E35" s="8">
        <v>1</v>
      </c>
      <c r="F35" s="8">
        <v>1</v>
      </c>
      <c r="G35" s="8">
        <v>0</v>
      </c>
      <c r="H35" s="8">
        <v>0</v>
      </c>
      <c r="I35" s="8">
        <v>0</v>
      </c>
      <c r="J35" s="8">
        <v>0</v>
      </c>
      <c r="K35" s="8" t="s">
        <v>9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21" t="s">
        <v>9</v>
      </c>
      <c r="R35" s="8" t="s">
        <v>9</v>
      </c>
      <c r="S35" s="8">
        <v>0</v>
      </c>
      <c r="T35" s="8">
        <v>1</v>
      </c>
      <c r="U35" s="8">
        <v>1</v>
      </c>
      <c r="V35" s="8">
        <v>0</v>
      </c>
      <c r="W35" s="8">
        <v>1</v>
      </c>
      <c r="X35" s="8">
        <v>0</v>
      </c>
      <c r="Y35" s="8" t="s">
        <v>9</v>
      </c>
      <c r="Z35" s="8">
        <v>0</v>
      </c>
      <c r="AA35" s="8">
        <v>0</v>
      </c>
      <c r="AB35" s="8">
        <v>0</v>
      </c>
      <c r="AC35" s="8">
        <v>0</v>
      </c>
      <c r="AD35" s="8">
        <v>4</v>
      </c>
      <c r="AE35" s="8" t="s">
        <v>9</v>
      </c>
      <c r="AF35" s="8" t="s">
        <v>9</v>
      </c>
      <c r="AG35" s="8">
        <v>0</v>
      </c>
      <c r="AH35" s="26">
        <f t="shared" si="9"/>
        <v>9</v>
      </c>
      <c r="AI35" s="87"/>
    </row>
    <row r="36" spans="1:35" x14ac:dyDescent="0.25">
      <c r="A36" s="89" t="s">
        <v>32</v>
      </c>
      <c r="B36" s="124" t="s">
        <v>18</v>
      </c>
      <c r="C36" s="29" t="s">
        <v>48</v>
      </c>
      <c r="D36" s="7" t="s">
        <v>9</v>
      </c>
      <c r="E36" s="7">
        <v>31</v>
      </c>
      <c r="F36" s="7">
        <v>4</v>
      </c>
      <c r="G36" s="7">
        <v>13</v>
      </c>
      <c r="H36" s="7">
        <v>4</v>
      </c>
      <c r="I36" s="7">
        <v>9</v>
      </c>
      <c r="J36" s="7">
        <v>11</v>
      </c>
      <c r="K36" s="7" t="s">
        <v>9</v>
      </c>
      <c r="L36" s="7">
        <v>3</v>
      </c>
      <c r="M36" s="7">
        <v>3</v>
      </c>
      <c r="N36" s="7">
        <v>1</v>
      </c>
      <c r="O36" s="7">
        <v>10</v>
      </c>
      <c r="P36" s="7" t="s">
        <v>9</v>
      </c>
      <c r="Q36" s="20" t="s">
        <v>9</v>
      </c>
      <c r="R36" s="7" t="s">
        <v>9</v>
      </c>
      <c r="S36" s="7">
        <v>0</v>
      </c>
      <c r="T36" s="7">
        <v>1</v>
      </c>
      <c r="U36" s="7">
        <v>4</v>
      </c>
      <c r="V36" s="7" t="s">
        <v>37</v>
      </c>
      <c r="W36" s="20">
        <v>6</v>
      </c>
      <c r="X36" s="7">
        <v>14</v>
      </c>
      <c r="Y36" s="7" t="s">
        <v>9</v>
      </c>
      <c r="Z36" s="7">
        <v>11</v>
      </c>
      <c r="AA36" s="14">
        <v>18</v>
      </c>
      <c r="AB36" s="7">
        <v>20</v>
      </c>
      <c r="AC36" s="7">
        <v>9</v>
      </c>
      <c r="AD36" s="7">
        <v>19</v>
      </c>
      <c r="AE36" s="7" t="s">
        <v>9</v>
      </c>
      <c r="AF36" s="7" t="s">
        <v>9</v>
      </c>
      <c r="AG36" s="14">
        <v>4</v>
      </c>
      <c r="AH36" s="27">
        <f t="shared" ref="AH36:AH41" si="10">SUM(D36:AG36)</f>
        <v>195</v>
      </c>
      <c r="AI36" s="85">
        <f>SUM(AH36:AH41)</f>
        <v>532</v>
      </c>
    </row>
    <row r="37" spans="1:35" x14ac:dyDescent="0.25">
      <c r="A37" s="121"/>
      <c r="B37" s="125"/>
      <c r="C37" s="32" t="s">
        <v>50</v>
      </c>
      <c r="D37" s="14" t="s">
        <v>9</v>
      </c>
      <c r="E37" s="14">
        <v>12</v>
      </c>
      <c r="F37" s="14">
        <v>2</v>
      </c>
      <c r="G37" s="14">
        <v>10</v>
      </c>
      <c r="H37" s="14">
        <v>11</v>
      </c>
      <c r="I37" s="14">
        <v>6</v>
      </c>
      <c r="J37" s="14">
        <v>7</v>
      </c>
      <c r="K37" s="14" t="s">
        <v>9</v>
      </c>
      <c r="L37" s="14">
        <v>8</v>
      </c>
      <c r="M37" s="14">
        <v>8</v>
      </c>
      <c r="N37" s="14">
        <v>12</v>
      </c>
      <c r="O37" s="14">
        <v>3</v>
      </c>
      <c r="P37" s="14" t="s">
        <v>9</v>
      </c>
      <c r="Q37" s="22" t="s">
        <v>9</v>
      </c>
      <c r="R37" s="14" t="s">
        <v>9</v>
      </c>
      <c r="S37" s="14">
        <v>9</v>
      </c>
      <c r="T37" s="14">
        <v>5</v>
      </c>
      <c r="U37" s="14">
        <v>5</v>
      </c>
      <c r="V37" s="14" t="s">
        <v>37</v>
      </c>
      <c r="W37" s="14">
        <v>6</v>
      </c>
      <c r="X37" s="14">
        <v>7</v>
      </c>
      <c r="Y37" s="14" t="s">
        <v>9</v>
      </c>
      <c r="Z37" s="14">
        <v>10</v>
      </c>
      <c r="AA37" s="3">
        <v>15</v>
      </c>
      <c r="AB37" s="14">
        <v>7</v>
      </c>
      <c r="AC37" s="14">
        <v>14</v>
      </c>
      <c r="AD37" s="14">
        <v>10</v>
      </c>
      <c r="AE37" s="14" t="s">
        <v>9</v>
      </c>
      <c r="AF37" s="14" t="s">
        <v>9</v>
      </c>
      <c r="AG37" s="14">
        <v>0</v>
      </c>
      <c r="AH37" s="28">
        <f t="shared" si="10"/>
        <v>167</v>
      </c>
      <c r="AI37" s="122"/>
    </row>
    <row r="38" spans="1:35" x14ac:dyDescent="0.25">
      <c r="A38" s="121"/>
      <c r="B38" s="125"/>
      <c r="C38" s="32" t="s">
        <v>49</v>
      </c>
      <c r="D38" s="14" t="s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9</v>
      </c>
      <c r="L38" s="14">
        <v>0</v>
      </c>
      <c r="M38" s="14">
        <v>0</v>
      </c>
      <c r="N38" s="14">
        <v>0</v>
      </c>
      <c r="O38" s="14">
        <v>0</v>
      </c>
      <c r="P38" s="14" t="s">
        <v>9</v>
      </c>
      <c r="Q38" s="22" t="s">
        <v>9</v>
      </c>
      <c r="R38" s="14" t="s">
        <v>9</v>
      </c>
      <c r="S38" s="14">
        <v>0</v>
      </c>
      <c r="T38" s="14">
        <v>0</v>
      </c>
      <c r="U38" s="14">
        <v>0</v>
      </c>
      <c r="V38" s="14" t="s">
        <v>37</v>
      </c>
      <c r="W38" s="14">
        <v>0</v>
      </c>
      <c r="X38" s="14">
        <v>0</v>
      </c>
      <c r="Y38" s="14" t="s">
        <v>9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 t="s">
        <v>9</v>
      </c>
      <c r="AF38" s="14" t="s">
        <v>9</v>
      </c>
      <c r="AG38" s="14">
        <v>0</v>
      </c>
      <c r="AH38" s="28">
        <f t="shared" si="10"/>
        <v>0</v>
      </c>
      <c r="AI38" s="122"/>
    </row>
    <row r="39" spans="1:35" x14ac:dyDescent="0.25">
      <c r="A39" s="121"/>
      <c r="B39" s="126"/>
      <c r="C39" s="32" t="s">
        <v>51</v>
      </c>
      <c r="D39" s="14" t="s">
        <v>9</v>
      </c>
      <c r="E39" s="14">
        <v>1</v>
      </c>
      <c r="F39" s="14">
        <v>0</v>
      </c>
      <c r="G39" s="14">
        <v>1</v>
      </c>
      <c r="H39" s="14">
        <v>0</v>
      </c>
      <c r="I39" s="14">
        <v>0</v>
      </c>
      <c r="J39" s="14">
        <v>5</v>
      </c>
      <c r="K39" s="14" t="s">
        <v>9</v>
      </c>
      <c r="L39" s="14">
        <v>2</v>
      </c>
      <c r="M39" s="14">
        <v>2</v>
      </c>
      <c r="N39" s="14">
        <v>1</v>
      </c>
      <c r="O39" s="14">
        <v>2</v>
      </c>
      <c r="P39" s="14" t="s">
        <v>9</v>
      </c>
      <c r="Q39" s="22" t="s">
        <v>9</v>
      </c>
      <c r="R39" s="14" t="s">
        <v>9</v>
      </c>
      <c r="S39" s="14">
        <v>4</v>
      </c>
      <c r="T39" s="14">
        <v>0</v>
      </c>
      <c r="U39" s="14">
        <v>2</v>
      </c>
      <c r="V39" s="14" t="s">
        <v>37</v>
      </c>
      <c r="W39" s="14">
        <v>0</v>
      </c>
      <c r="X39" s="14">
        <v>1</v>
      </c>
      <c r="Y39" s="14" t="s">
        <v>9</v>
      </c>
      <c r="Z39" s="14">
        <v>2</v>
      </c>
      <c r="AA39" s="14">
        <v>0</v>
      </c>
      <c r="AB39" s="14">
        <v>3</v>
      </c>
      <c r="AC39" s="14">
        <v>1</v>
      </c>
      <c r="AD39" s="14">
        <v>1</v>
      </c>
      <c r="AE39" s="14" t="s">
        <v>9</v>
      </c>
      <c r="AF39" s="14" t="s">
        <v>9</v>
      </c>
      <c r="AG39" s="14">
        <v>0</v>
      </c>
      <c r="AH39" s="28">
        <f t="shared" si="10"/>
        <v>28</v>
      </c>
      <c r="AI39" s="122"/>
    </row>
    <row r="40" spans="1:35" x14ac:dyDescent="0.25">
      <c r="A40" s="90"/>
      <c r="B40" s="127" t="s">
        <v>45</v>
      </c>
      <c r="C40" s="30" t="s">
        <v>46</v>
      </c>
      <c r="D40" s="3" t="s">
        <v>9</v>
      </c>
      <c r="E40" s="3">
        <v>2</v>
      </c>
      <c r="F40" s="3">
        <v>3</v>
      </c>
      <c r="G40" s="3">
        <v>12</v>
      </c>
      <c r="H40" s="3">
        <v>3</v>
      </c>
      <c r="I40" s="3">
        <v>1</v>
      </c>
      <c r="J40" s="3">
        <v>6</v>
      </c>
      <c r="K40" s="3" t="s">
        <v>9</v>
      </c>
      <c r="L40" s="3">
        <v>5</v>
      </c>
      <c r="M40" s="3">
        <v>6</v>
      </c>
      <c r="N40" s="3">
        <v>7</v>
      </c>
      <c r="O40" s="3">
        <v>2</v>
      </c>
      <c r="P40" s="3" t="s">
        <v>9</v>
      </c>
      <c r="Q40" s="17" t="s">
        <v>9</v>
      </c>
      <c r="R40" s="3" t="s">
        <v>9</v>
      </c>
      <c r="S40" s="3">
        <v>11</v>
      </c>
      <c r="T40" s="3">
        <v>4</v>
      </c>
      <c r="U40" s="3">
        <v>3</v>
      </c>
      <c r="V40" s="3" t="s">
        <v>37</v>
      </c>
      <c r="W40" s="17">
        <v>7</v>
      </c>
      <c r="X40" s="3">
        <v>13</v>
      </c>
      <c r="Y40" s="3" t="s">
        <v>9</v>
      </c>
      <c r="Z40" s="3">
        <v>7</v>
      </c>
      <c r="AA40" s="3">
        <v>1</v>
      </c>
      <c r="AB40" s="3">
        <v>18</v>
      </c>
      <c r="AC40" s="3">
        <v>6</v>
      </c>
      <c r="AD40" s="3">
        <v>8</v>
      </c>
      <c r="AE40" s="3" t="s">
        <v>9</v>
      </c>
      <c r="AF40" s="3" t="s">
        <v>9</v>
      </c>
      <c r="AG40" s="3">
        <v>0</v>
      </c>
      <c r="AH40" s="28">
        <f t="shared" si="10"/>
        <v>125</v>
      </c>
      <c r="AI40" s="86"/>
    </row>
    <row r="41" spans="1:35" ht="13.5" thickBot="1" x14ac:dyDescent="0.3">
      <c r="A41" s="91"/>
      <c r="B41" s="128"/>
      <c r="C41" s="31" t="s">
        <v>47</v>
      </c>
      <c r="D41" s="8" t="s">
        <v>9</v>
      </c>
      <c r="E41" s="8">
        <v>4</v>
      </c>
      <c r="F41" s="8">
        <v>0</v>
      </c>
      <c r="G41" s="8">
        <v>0</v>
      </c>
      <c r="H41" s="8">
        <v>0</v>
      </c>
      <c r="I41" s="8">
        <v>1</v>
      </c>
      <c r="J41" s="8">
        <v>1</v>
      </c>
      <c r="K41" s="8" t="s">
        <v>9</v>
      </c>
      <c r="L41" s="8">
        <v>0</v>
      </c>
      <c r="M41" s="8">
        <v>0</v>
      </c>
      <c r="N41" s="8">
        <v>0</v>
      </c>
      <c r="O41" s="8">
        <v>4</v>
      </c>
      <c r="P41" s="8" t="s">
        <v>9</v>
      </c>
      <c r="Q41" s="21" t="s">
        <v>9</v>
      </c>
      <c r="R41" s="8" t="s">
        <v>9</v>
      </c>
      <c r="S41" s="8">
        <v>4</v>
      </c>
      <c r="T41" s="8">
        <v>0</v>
      </c>
      <c r="U41" s="8">
        <v>1</v>
      </c>
      <c r="V41" s="8" t="s">
        <v>37</v>
      </c>
      <c r="W41" s="21">
        <v>0</v>
      </c>
      <c r="X41" s="8">
        <v>0</v>
      </c>
      <c r="Y41" s="8" t="s">
        <v>9</v>
      </c>
      <c r="Z41" s="8">
        <v>0</v>
      </c>
      <c r="AA41" s="8">
        <v>0</v>
      </c>
      <c r="AB41" s="8">
        <v>1</v>
      </c>
      <c r="AC41" s="8">
        <v>0</v>
      </c>
      <c r="AD41" s="8">
        <v>0</v>
      </c>
      <c r="AE41" s="8" t="s">
        <v>9</v>
      </c>
      <c r="AF41" s="8" t="s">
        <v>9</v>
      </c>
      <c r="AG41" s="8">
        <v>1</v>
      </c>
      <c r="AH41" s="26">
        <f t="shared" si="10"/>
        <v>17</v>
      </c>
      <c r="AI41" s="87"/>
    </row>
    <row r="42" spans="1:35" x14ac:dyDescent="0.25">
      <c r="A42" s="124" t="s">
        <v>52</v>
      </c>
      <c r="B42" s="124" t="s">
        <v>18</v>
      </c>
      <c r="C42" s="29" t="s">
        <v>48</v>
      </c>
      <c r="D42" s="7" t="s">
        <v>9</v>
      </c>
      <c r="E42" s="7">
        <v>30</v>
      </c>
      <c r="F42" s="7">
        <v>4</v>
      </c>
      <c r="G42" s="7">
        <v>10</v>
      </c>
      <c r="H42" s="7" t="s">
        <v>37</v>
      </c>
      <c r="I42" s="7">
        <v>14</v>
      </c>
      <c r="J42" s="7" t="s">
        <v>9</v>
      </c>
      <c r="K42" s="7" t="s">
        <v>9</v>
      </c>
      <c r="L42" s="7">
        <v>5</v>
      </c>
      <c r="M42" s="7">
        <v>4</v>
      </c>
      <c r="N42" s="7">
        <v>4</v>
      </c>
      <c r="O42" s="7">
        <v>15</v>
      </c>
      <c r="P42" s="7">
        <v>2</v>
      </c>
      <c r="Q42" s="7">
        <v>1</v>
      </c>
      <c r="R42" s="7" t="s">
        <v>9</v>
      </c>
      <c r="S42" s="7">
        <v>2</v>
      </c>
      <c r="T42" s="7">
        <v>6</v>
      </c>
      <c r="U42" s="7">
        <v>4</v>
      </c>
      <c r="V42" s="7">
        <v>14</v>
      </c>
      <c r="W42" s="7">
        <v>8</v>
      </c>
      <c r="X42" s="7" t="s">
        <v>9</v>
      </c>
      <c r="Y42" s="7" t="s">
        <v>9</v>
      </c>
      <c r="Z42" s="7">
        <v>22</v>
      </c>
      <c r="AA42" s="7">
        <v>8</v>
      </c>
      <c r="AB42" s="7">
        <v>19</v>
      </c>
      <c r="AC42" s="7" t="s">
        <v>37</v>
      </c>
      <c r="AD42" s="7">
        <v>23</v>
      </c>
      <c r="AE42" s="7">
        <v>3</v>
      </c>
      <c r="AF42" s="7" t="s">
        <v>9</v>
      </c>
      <c r="AG42" s="7">
        <v>13</v>
      </c>
      <c r="AH42" s="27">
        <f t="shared" ref="AH42:AH47" si="11">SUM(D42:AG42)</f>
        <v>211</v>
      </c>
      <c r="AI42" s="85">
        <f>SUM(AH42:AH47)</f>
        <v>453</v>
      </c>
    </row>
    <row r="43" spans="1:35" ht="15" customHeight="1" x14ac:dyDescent="0.25">
      <c r="A43" s="125"/>
      <c r="B43" s="125"/>
      <c r="C43" s="32" t="s">
        <v>50</v>
      </c>
      <c r="D43" s="14" t="s">
        <v>9</v>
      </c>
      <c r="E43" s="14">
        <v>14</v>
      </c>
      <c r="F43" s="14">
        <v>4</v>
      </c>
      <c r="G43" s="14">
        <v>9</v>
      </c>
      <c r="H43" s="14" t="s">
        <v>37</v>
      </c>
      <c r="I43" s="14">
        <v>6</v>
      </c>
      <c r="J43" s="14" t="s">
        <v>9</v>
      </c>
      <c r="K43" s="14" t="s">
        <v>9</v>
      </c>
      <c r="L43" s="14">
        <v>2</v>
      </c>
      <c r="M43" s="14">
        <v>4</v>
      </c>
      <c r="N43" s="14">
        <v>4</v>
      </c>
      <c r="O43" s="14">
        <v>1</v>
      </c>
      <c r="P43" s="14">
        <v>3</v>
      </c>
      <c r="Q43" s="14">
        <v>18</v>
      </c>
      <c r="R43" s="14" t="s">
        <v>9</v>
      </c>
      <c r="S43" s="14">
        <v>4</v>
      </c>
      <c r="T43" s="14">
        <v>8</v>
      </c>
      <c r="U43" s="14">
        <v>1</v>
      </c>
      <c r="V43" s="14">
        <v>2</v>
      </c>
      <c r="W43" s="14">
        <v>3</v>
      </c>
      <c r="X43" s="14" t="s">
        <v>9</v>
      </c>
      <c r="Y43" s="14" t="s">
        <v>9</v>
      </c>
      <c r="Z43" s="14">
        <v>1</v>
      </c>
      <c r="AA43" s="14">
        <v>4</v>
      </c>
      <c r="AB43" s="14">
        <v>5</v>
      </c>
      <c r="AC43" s="14" t="s">
        <v>37</v>
      </c>
      <c r="AD43" s="14">
        <v>3</v>
      </c>
      <c r="AE43" s="14">
        <v>7</v>
      </c>
      <c r="AF43" s="14" t="s">
        <v>9</v>
      </c>
      <c r="AG43" s="14">
        <v>5</v>
      </c>
      <c r="AH43" s="28">
        <f t="shared" si="11"/>
        <v>108</v>
      </c>
      <c r="AI43" s="122"/>
    </row>
    <row r="44" spans="1:35" ht="15" customHeight="1" x14ac:dyDescent="0.25">
      <c r="A44" s="125"/>
      <c r="B44" s="125"/>
      <c r="C44" s="32" t="s">
        <v>49</v>
      </c>
      <c r="D44" s="14" t="s">
        <v>9</v>
      </c>
      <c r="E44" s="14">
        <v>0</v>
      </c>
      <c r="F44" s="14">
        <v>0</v>
      </c>
      <c r="G44" s="14">
        <v>0</v>
      </c>
      <c r="H44" s="14" t="s">
        <v>37</v>
      </c>
      <c r="I44" s="14">
        <v>0</v>
      </c>
      <c r="J44" s="14" t="s">
        <v>9</v>
      </c>
      <c r="K44" s="14" t="s">
        <v>9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 t="s">
        <v>9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 t="s">
        <v>9</v>
      </c>
      <c r="Y44" s="14" t="s">
        <v>9</v>
      </c>
      <c r="Z44" s="14">
        <v>0</v>
      </c>
      <c r="AA44" s="14">
        <v>0</v>
      </c>
      <c r="AB44" s="14">
        <v>0</v>
      </c>
      <c r="AC44" s="14" t="s">
        <v>37</v>
      </c>
      <c r="AD44" s="14">
        <v>0</v>
      </c>
      <c r="AE44" s="14">
        <v>0</v>
      </c>
      <c r="AF44" s="14" t="s">
        <v>9</v>
      </c>
      <c r="AG44" s="14">
        <v>0</v>
      </c>
      <c r="AH44" s="28">
        <f t="shared" si="11"/>
        <v>0</v>
      </c>
      <c r="AI44" s="122"/>
    </row>
    <row r="45" spans="1:35" ht="15" customHeight="1" x14ac:dyDescent="0.25">
      <c r="A45" s="125"/>
      <c r="B45" s="126"/>
      <c r="C45" s="32" t="s">
        <v>51</v>
      </c>
      <c r="D45" s="14" t="s">
        <v>9</v>
      </c>
      <c r="E45" s="14">
        <v>1</v>
      </c>
      <c r="F45" s="14">
        <v>5</v>
      </c>
      <c r="G45" s="14">
        <v>0</v>
      </c>
      <c r="H45" s="14" t="s">
        <v>37</v>
      </c>
      <c r="I45" s="14">
        <v>4</v>
      </c>
      <c r="J45" s="14" t="s">
        <v>9</v>
      </c>
      <c r="K45" s="14" t="s">
        <v>9</v>
      </c>
      <c r="L45" s="14">
        <v>1</v>
      </c>
      <c r="M45" s="14">
        <v>2</v>
      </c>
      <c r="N45" s="14">
        <v>2</v>
      </c>
      <c r="O45" s="14">
        <v>1</v>
      </c>
      <c r="P45" s="14">
        <v>1</v>
      </c>
      <c r="Q45" s="14">
        <v>3</v>
      </c>
      <c r="R45" s="14" t="s">
        <v>9</v>
      </c>
      <c r="S45" s="14">
        <v>1</v>
      </c>
      <c r="T45" s="14">
        <v>0</v>
      </c>
      <c r="U45" s="14">
        <v>0</v>
      </c>
      <c r="V45" s="14">
        <v>3</v>
      </c>
      <c r="W45" s="14">
        <v>1</v>
      </c>
      <c r="X45" s="14" t="s">
        <v>9</v>
      </c>
      <c r="Y45" s="14" t="s">
        <v>9</v>
      </c>
      <c r="Z45" s="14">
        <v>4</v>
      </c>
      <c r="AA45" s="14">
        <v>2</v>
      </c>
      <c r="AB45" s="14">
        <v>1</v>
      </c>
      <c r="AC45" s="14" t="s">
        <v>37</v>
      </c>
      <c r="AD45" s="14">
        <v>2</v>
      </c>
      <c r="AE45" s="14">
        <v>1</v>
      </c>
      <c r="AF45" s="14" t="s">
        <v>9</v>
      </c>
      <c r="AG45" s="14">
        <v>0</v>
      </c>
      <c r="AH45" s="28">
        <f t="shared" si="11"/>
        <v>35</v>
      </c>
      <c r="AI45" s="122"/>
    </row>
    <row r="46" spans="1:35" x14ac:dyDescent="0.25">
      <c r="A46" s="125"/>
      <c r="B46" s="127" t="s">
        <v>45</v>
      </c>
      <c r="C46" s="30" t="s">
        <v>46</v>
      </c>
      <c r="D46" s="3" t="s">
        <v>9</v>
      </c>
      <c r="E46" s="3">
        <v>3</v>
      </c>
      <c r="F46" s="3">
        <v>7</v>
      </c>
      <c r="G46" s="3">
        <v>5</v>
      </c>
      <c r="H46" s="3" t="s">
        <v>37</v>
      </c>
      <c r="I46" s="3">
        <v>7</v>
      </c>
      <c r="J46" s="3" t="s">
        <v>9</v>
      </c>
      <c r="K46" s="3" t="s">
        <v>9</v>
      </c>
      <c r="L46" s="3">
        <v>4</v>
      </c>
      <c r="M46" s="3">
        <v>4</v>
      </c>
      <c r="N46" s="3">
        <v>5</v>
      </c>
      <c r="O46" s="3">
        <v>1</v>
      </c>
      <c r="P46" s="3">
        <v>4</v>
      </c>
      <c r="Q46" s="3">
        <v>4</v>
      </c>
      <c r="R46" s="3" t="s">
        <v>9</v>
      </c>
      <c r="S46" s="3">
        <v>2</v>
      </c>
      <c r="T46" s="3">
        <v>4</v>
      </c>
      <c r="U46" s="3">
        <v>0</v>
      </c>
      <c r="V46" s="3">
        <v>7</v>
      </c>
      <c r="W46" s="3">
        <v>6</v>
      </c>
      <c r="X46" s="3" t="s">
        <v>9</v>
      </c>
      <c r="Y46" s="3" t="s">
        <v>9</v>
      </c>
      <c r="Z46" s="3">
        <v>14</v>
      </c>
      <c r="AA46" s="3">
        <v>3</v>
      </c>
      <c r="AB46" s="3">
        <v>6</v>
      </c>
      <c r="AC46" s="3" t="s">
        <v>37</v>
      </c>
      <c r="AD46" s="3">
        <v>2</v>
      </c>
      <c r="AE46" s="3">
        <v>2</v>
      </c>
      <c r="AF46" s="3" t="s">
        <v>9</v>
      </c>
      <c r="AG46" s="3">
        <v>2</v>
      </c>
      <c r="AH46" s="28">
        <f t="shared" si="11"/>
        <v>92</v>
      </c>
      <c r="AI46" s="86"/>
    </row>
    <row r="47" spans="1:35" ht="13.5" thickBot="1" x14ac:dyDescent="0.3">
      <c r="A47" s="128"/>
      <c r="B47" s="128"/>
      <c r="C47" s="31" t="s">
        <v>47</v>
      </c>
      <c r="D47" s="8" t="s">
        <v>9</v>
      </c>
      <c r="E47" s="8">
        <v>0</v>
      </c>
      <c r="F47" s="8">
        <v>0</v>
      </c>
      <c r="G47" s="8">
        <v>1</v>
      </c>
      <c r="H47" s="8" t="s">
        <v>37</v>
      </c>
      <c r="I47" s="8">
        <v>0</v>
      </c>
      <c r="J47" s="8" t="s">
        <v>9</v>
      </c>
      <c r="K47" s="8" t="s">
        <v>9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 t="s">
        <v>9</v>
      </c>
      <c r="S47" s="8">
        <v>0</v>
      </c>
      <c r="T47" s="8">
        <v>0</v>
      </c>
      <c r="U47" s="8">
        <v>1</v>
      </c>
      <c r="V47" s="8">
        <v>0</v>
      </c>
      <c r="W47" s="8">
        <v>2</v>
      </c>
      <c r="X47" s="8" t="s">
        <v>9</v>
      </c>
      <c r="Y47" s="8" t="s">
        <v>9</v>
      </c>
      <c r="Z47" s="8">
        <v>0</v>
      </c>
      <c r="AA47" s="8">
        <v>0</v>
      </c>
      <c r="AB47" s="8">
        <v>0</v>
      </c>
      <c r="AC47" s="8" t="s">
        <v>37</v>
      </c>
      <c r="AD47" s="8">
        <v>0</v>
      </c>
      <c r="AE47" s="8">
        <v>2</v>
      </c>
      <c r="AF47" s="8" t="s">
        <v>9</v>
      </c>
      <c r="AG47" s="8">
        <v>1</v>
      </c>
      <c r="AH47" s="26">
        <f t="shared" si="11"/>
        <v>7</v>
      </c>
      <c r="AI47" s="87"/>
    </row>
    <row r="48" spans="1:35" x14ac:dyDescent="0.25">
      <c r="A48" s="129" t="s">
        <v>65</v>
      </c>
      <c r="B48" s="124" t="s">
        <v>18</v>
      </c>
      <c r="C48" s="29" t="s">
        <v>48</v>
      </c>
      <c r="D48" s="7" t="s">
        <v>10</v>
      </c>
      <c r="E48" s="7" t="s">
        <v>10</v>
      </c>
      <c r="F48" s="7" t="s">
        <v>10</v>
      </c>
      <c r="G48" s="7">
        <v>3</v>
      </c>
      <c r="H48" s="7">
        <v>1</v>
      </c>
      <c r="I48" s="7">
        <v>1</v>
      </c>
      <c r="J48" s="7">
        <v>14</v>
      </c>
      <c r="K48" s="7" t="s">
        <v>9</v>
      </c>
      <c r="L48" s="7">
        <v>2</v>
      </c>
      <c r="M48" s="7">
        <v>3</v>
      </c>
      <c r="N48" s="7">
        <v>0</v>
      </c>
      <c r="O48" s="7">
        <v>6</v>
      </c>
      <c r="P48" s="7">
        <v>0</v>
      </c>
      <c r="Q48" s="20" t="s">
        <v>9</v>
      </c>
      <c r="R48" s="7" t="s">
        <v>9</v>
      </c>
      <c r="S48" s="7">
        <v>1</v>
      </c>
      <c r="T48" s="7">
        <v>1</v>
      </c>
      <c r="U48" s="7">
        <v>11</v>
      </c>
      <c r="V48" s="7">
        <v>2</v>
      </c>
      <c r="W48" s="7">
        <v>10</v>
      </c>
      <c r="X48" s="7">
        <v>13</v>
      </c>
      <c r="Y48" s="7" t="s">
        <v>9</v>
      </c>
      <c r="Z48" s="7">
        <v>14</v>
      </c>
      <c r="AA48" s="7">
        <v>3</v>
      </c>
      <c r="AB48" s="7">
        <v>6</v>
      </c>
      <c r="AC48" s="7">
        <v>25</v>
      </c>
      <c r="AD48" s="7">
        <v>0</v>
      </c>
      <c r="AE48" s="7">
        <v>4</v>
      </c>
      <c r="AF48" s="7" t="s">
        <v>9</v>
      </c>
      <c r="AG48" s="7">
        <v>27</v>
      </c>
      <c r="AH48" s="7">
        <f t="shared" ref="AH48:AH53" si="12">SUM(D48:AG48)</f>
        <v>147</v>
      </c>
      <c r="AI48" s="85">
        <f>SUM(AH48:AH53)</f>
        <v>426</v>
      </c>
    </row>
    <row r="49" spans="1:35" x14ac:dyDescent="0.25">
      <c r="A49" s="126"/>
      <c r="B49" s="125"/>
      <c r="C49" s="32" t="s">
        <v>50</v>
      </c>
      <c r="D49" s="14" t="s">
        <v>10</v>
      </c>
      <c r="E49" s="3" t="s">
        <v>10</v>
      </c>
      <c r="F49" s="3" t="s">
        <v>10</v>
      </c>
      <c r="G49" s="3">
        <v>0</v>
      </c>
      <c r="H49" s="3">
        <v>1</v>
      </c>
      <c r="I49" s="3">
        <v>6</v>
      </c>
      <c r="J49" s="14">
        <v>1</v>
      </c>
      <c r="K49" s="14" t="s">
        <v>9</v>
      </c>
      <c r="L49" s="3">
        <v>7</v>
      </c>
      <c r="M49" s="3">
        <v>4</v>
      </c>
      <c r="N49" s="3">
        <v>7</v>
      </c>
      <c r="O49" s="3">
        <v>0</v>
      </c>
      <c r="P49" s="3">
        <v>3</v>
      </c>
      <c r="Q49" s="22" t="s">
        <v>9</v>
      </c>
      <c r="R49" s="14" t="s">
        <v>9</v>
      </c>
      <c r="S49" s="3">
        <v>6</v>
      </c>
      <c r="T49" s="3">
        <v>3</v>
      </c>
      <c r="U49" s="3">
        <v>4</v>
      </c>
      <c r="V49" s="3">
        <v>1</v>
      </c>
      <c r="W49" s="3">
        <v>2</v>
      </c>
      <c r="X49" s="14">
        <v>0</v>
      </c>
      <c r="Y49" s="14" t="s">
        <v>9</v>
      </c>
      <c r="Z49" s="3">
        <v>2</v>
      </c>
      <c r="AA49" s="3">
        <v>1</v>
      </c>
      <c r="AB49" s="3">
        <v>4</v>
      </c>
      <c r="AC49" s="3">
        <v>7</v>
      </c>
      <c r="AD49" s="3">
        <v>20</v>
      </c>
      <c r="AE49" s="14">
        <v>14</v>
      </c>
      <c r="AF49" s="14" t="s">
        <v>9</v>
      </c>
      <c r="AG49" s="3">
        <v>4</v>
      </c>
      <c r="AH49" s="3">
        <f t="shared" si="12"/>
        <v>97</v>
      </c>
      <c r="AI49" s="122"/>
    </row>
    <row r="50" spans="1:35" x14ac:dyDescent="0.25">
      <c r="A50" s="126"/>
      <c r="B50" s="125"/>
      <c r="C50" s="32" t="s">
        <v>49</v>
      </c>
      <c r="D50" s="14" t="s">
        <v>10</v>
      </c>
      <c r="E50" s="3" t="s">
        <v>10</v>
      </c>
      <c r="F50" s="3" t="s">
        <v>10</v>
      </c>
      <c r="G50" s="3">
        <v>0</v>
      </c>
      <c r="H50" s="3">
        <v>0</v>
      </c>
      <c r="I50" s="3">
        <v>0</v>
      </c>
      <c r="J50" s="14">
        <v>0</v>
      </c>
      <c r="K50" s="14" t="s">
        <v>9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22" t="s">
        <v>9</v>
      </c>
      <c r="R50" s="14" t="s">
        <v>9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14">
        <v>0</v>
      </c>
      <c r="Y50" s="14" t="s">
        <v>9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14">
        <v>0</v>
      </c>
      <c r="AF50" s="14" t="s">
        <v>9</v>
      </c>
      <c r="AG50" s="3">
        <v>0</v>
      </c>
      <c r="AH50" s="3">
        <f t="shared" si="12"/>
        <v>0</v>
      </c>
      <c r="AI50" s="122"/>
    </row>
    <row r="51" spans="1:35" x14ac:dyDescent="0.25">
      <c r="A51" s="126"/>
      <c r="B51" s="126"/>
      <c r="C51" s="32" t="s">
        <v>51</v>
      </c>
      <c r="D51" s="14" t="s">
        <v>10</v>
      </c>
      <c r="E51" s="3" t="s">
        <v>10</v>
      </c>
      <c r="F51" s="3" t="s">
        <v>10</v>
      </c>
      <c r="G51" s="3">
        <v>1</v>
      </c>
      <c r="H51" s="3">
        <v>2</v>
      </c>
      <c r="I51" s="3">
        <v>0</v>
      </c>
      <c r="J51" s="14">
        <v>1</v>
      </c>
      <c r="K51" s="14" t="s">
        <v>9</v>
      </c>
      <c r="L51" s="3">
        <v>1</v>
      </c>
      <c r="M51" s="3">
        <v>3</v>
      </c>
      <c r="N51" s="3">
        <v>1</v>
      </c>
      <c r="O51" s="3">
        <v>0</v>
      </c>
      <c r="P51" s="3">
        <v>0</v>
      </c>
      <c r="Q51" s="22" t="s">
        <v>9</v>
      </c>
      <c r="R51" s="14" t="s">
        <v>9</v>
      </c>
      <c r="S51" s="3">
        <v>3</v>
      </c>
      <c r="T51" s="3">
        <v>0</v>
      </c>
      <c r="U51" s="3">
        <v>0</v>
      </c>
      <c r="V51" s="3">
        <v>0</v>
      </c>
      <c r="W51" s="3">
        <v>1</v>
      </c>
      <c r="X51" s="14">
        <v>0</v>
      </c>
      <c r="Y51" s="14" t="s">
        <v>9</v>
      </c>
      <c r="Z51" s="3">
        <v>4</v>
      </c>
      <c r="AA51" s="3">
        <v>0</v>
      </c>
      <c r="AB51" s="3">
        <v>1</v>
      </c>
      <c r="AC51" s="3">
        <v>2</v>
      </c>
      <c r="AD51" s="3">
        <v>3</v>
      </c>
      <c r="AE51" s="14">
        <v>0</v>
      </c>
      <c r="AF51" s="14" t="s">
        <v>9</v>
      </c>
      <c r="AG51" s="3">
        <v>2</v>
      </c>
      <c r="AH51" s="3">
        <f t="shared" si="12"/>
        <v>25</v>
      </c>
      <c r="AI51" s="122"/>
    </row>
    <row r="52" spans="1:35" x14ac:dyDescent="0.25">
      <c r="A52" s="130"/>
      <c r="B52" s="127" t="s">
        <v>45</v>
      </c>
      <c r="C52" s="30" t="s">
        <v>46</v>
      </c>
      <c r="D52" s="3" t="s">
        <v>10</v>
      </c>
      <c r="E52" s="3" t="s">
        <v>10</v>
      </c>
      <c r="F52" s="3" t="s">
        <v>10</v>
      </c>
      <c r="G52" s="3">
        <v>12</v>
      </c>
      <c r="H52" s="3">
        <v>3</v>
      </c>
      <c r="I52" s="3">
        <v>2</v>
      </c>
      <c r="J52" s="3">
        <v>7</v>
      </c>
      <c r="K52" s="3" t="s">
        <v>9</v>
      </c>
      <c r="L52" s="3">
        <v>4</v>
      </c>
      <c r="M52" s="3">
        <v>10</v>
      </c>
      <c r="N52" s="3">
        <v>4</v>
      </c>
      <c r="O52" s="3">
        <v>2</v>
      </c>
      <c r="P52" s="3">
        <v>1</v>
      </c>
      <c r="Q52" s="17" t="s">
        <v>9</v>
      </c>
      <c r="R52" s="3" t="s">
        <v>9</v>
      </c>
      <c r="S52" s="3">
        <v>9</v>
      </c>
      <c r="T52" s="3">
        <v>1</v>
      </c>
      <c r="U52" s="3">
        <v>9</v>
      </c>
      <c r="V52" s="3">
        <v>1</v>
      </c>
      <c r="W52" s="3">
        <v>16</v>
      </c>
      <c r="X52" s="3">
        <v>3</v>
      </c>
      <c r="Y52" s="3" t="s">
        <v>9</v>
      </c>
      <c r="Z52" s="3">
        <v>14</v>
      </c>
      <c r="AA52" s="3">
        <v>7</v>
      </c>
      <c r="AB52" s="3">
        <v>14</v>
      </c>
      <c r="AC52" s="3">
        <v>9</v>
      </c>
      <c r="AD52" s="3">
        <v>6</v>
      </c>
      <c r="AE52" s="3">
        <v>7</v>
      </c>
      <c r="AF52" s="3" t="s">
        <v>9</v>
      </c>
      <c r="AG52" s="3">
        <v>15</v>
      </c>
      <c r="AH52" s="3">
        <f t="shared" si="12"/>
        <v>156</v>
      </c>
      <c r="AI52" s="86"/>
    </row>
    <row r="53" spans="1:35" ht="13.5" thickBot="1" x14ac:dyDescent="0.3">
      <c r="A53" s="131"/>
      <c r="B53" s="128"/>
      <c r="C53" s="31" t="s">
        <v>47</v>
      </c>
      <c r="D53" s="8" t="s">
        <v>10</v>
      </c>
      <c r="E53" s="8" t="s">
        <v>10</v>
      </c>
      <c r="F53" s="8" t="s">
        <v>10</v>
      </c>
      <c r="G53" s="8">
        <v>0</v>
      </c>
      <c r="H53" s="8">
        <v>0</v>
      </c>
      <c r="I53" s="8">
        <v>0</v>
      </c>
      <c r="J53" s="8">
        <v>0</v>
      </c>
      <c r="K53" s="8" t="s">
        <v>9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21" t="s">
        <v>9</v>
      </c>
      <c r="R53" s="8" t="s">
        <v>9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 t="s">
        <v>9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1</v>
      </c>
      <c r="AF53" s="8" t="s">
        <v>9</v>
      </c>
      <c r="AG53" s="8">
        <v>0</v>
      </c>
      <c r="AH53" s="8">
        <f t="shared" si="12"/>
        <v>1</v>
      </c>
      <c r="AI53" s="87"/>
    </row>
    <row r="54" spans="1:35" x14ac:dyDescent="0.25">
      <c r="A54" s="142" t="s">
        <v>22</v>
      </c>
      <c r="B54" s="124" t="s">
        <v>18</v>
      </c>
      <c r="C54" s="29" t="s">
        <v>48</v>
      </c>
      <c r="D54" s="7" t="s">
        <v>9</v>
      </c>
      <c r="E54" s="7">
        <v>5</v>
      </c>
      <c r="F54" s="7">
        <v>4</v>
      </c>
      <c r="G54" s="7">
        <v>1</v>
      </c>
      <c r="H54" s="7">
        <v>0</v>
      </c>
      <c r="I54" s="7">
        <v>13</v>
      </c>
      <c r="J54" s="7" t="s">
        <v>9</v>
      </c>
      <c r="K54" s="7" t="s">
        <v>9</v>
      </c>
      <c r="L54" s="7">
        <v>9</v>
      </c>
      <c r="M54" s="7">
        <v>1</v>
      </c>
      <c r="N54" s="7">
        <v>0</v>
      </c>
      <c r="O54" s="7">
        <v>16</v>
      </c>
      <c r="P54" s="7">
        <v>2</v>
      </c>
      <c r="Q54" s="7">
        <v>4</v>
      </c>
      <c r="R54" s="7" t="s">
        <v>9</v>
      </c>
      <c r="S54" s="7">
        <v>0</v>
      </c>
      <c r="T54" s="7">
        <v>2</v>
      </c>
      <c r="U54" s="7">
        <v>3</v>
      </c>
      <c r="V54" s="7">
        <v>9</v>
      </c>
      <c r="W54" s="7">
        <v>17</v>
      </c>
      <c r="X54" s="7" t="s">
        <v>9</v>
      </c>
      <c r="Y54" s="7" t="s">
        <v>9</v>
      </c>
      <c r="Z54" s="7">
        <v>19</v>
      </c>
      <c r="AA54" s="7">
        <v>11</v>
      </c>
      <c r="AB54" s="7">
        <v>6</v>
      </c>
      <c r="AC54" s="7">
        <v>12</v>
      </c>
      <c r="AD54" s="7">
        <v>12</v>
      </c>
      <c r="AE54" s="7">
        <v>0</v>
      </c>
      <c r="AF54" s="7" t="s">
        <v>9</v>
      </c>
      <c r="AG54" s="7" t="s">
        <v>9</v>
      </c>
      <c r="AH54" s="27">
        <f t="shared" ref="AH54:AH59" si="13">SUM(D54:AG54)</f>
        <v>146</v>
      </c>
      <c r="AI54" s="85">
        <f>SUM(AH54:AH59)</f>
        <v>344</v>
      </c>
    </row>
    <row r="55" spans="1:35" x14ac:dyDescent="0.25">
      <c r="A55" s="143"/>
      <c r="B55" s="125"/>
      <c r="C55" s="32" t="s">
        <v>50</v>
      </c>
      <c r="D55" s="14" t="s">
        <v>9</v>
      </c>
      <c r="E55" s="14">
        <v>3</v>
      </c>
      <c r="F55" s="14">
        <v>6</v>
      </c>
      <c r="G55" s="14">
        <v>2</v>
      </c>
      <c r="H55" s="14">
        <v>6</v>
      </c>
      <c r="I55" s="14">
        <v>3</v>
      </c>
      <c r="J55" s="14" t="s">
        <v>9</v>
      </c>
      <c r="K55" s="14" t="s">
        <v>9</v>
      </c>
      <c r="L55" s="14">
        <v>1</v>
      </c>
      <c r="M55" s="14">
        <v>4</v>
      </c>
      <c r="N55" s="14">
        <v>1</v>
      </c>
      <c r="O55" s="14">
        <v>3</v>
      </c>
      <c r="P55" s="14">
        <v>2</v>
      </c>
      <c r="Q55" s="14">
        <v>8</v>
      </c>
      <c r="R55" s="14" t="s">
        <v>9</v>
      </c>
      <c r="S55" s="14">
        <v>6</v>
      </c>
      <c r="T55" s="14">
        <v>3</v>
      </c>
      <c r="U55" s="14">
        <v>4</v>
      </c>
      <c r="V55" s="14">
        <v>5</v>
      </c>
      <c r="W55" s="14">
        <v>4</v>
      </c>
      <c r="X55" s="14" t="s">
        <v>9</v>
      </c>
      <c r="Y55" s="14" t="s">
        <v>9</v>
      </c>
      <c r="Z55" s="14">
        <v>3</v>
      </c>
      <c r="AA55" s="14">
        <v>1</v>
      </c>
      <c r="AB55" s="14">
        <v>3</v>
      </c>
      <c r="AC55" s="14">
        <v>9</v>
      </c>
      <c r="AD55" s="14">
        <v>4</v>
      </c>
      <c r="AE55" s="14">
        <v>3</v>
      </c>
      <c r="AF55" s="14" t="s">
        <v>9</v>
      </c>
      <c r="AG55" s="14" t="s">
        <v>9</v>
      </c>
      <c r="AH55" s="28">
        <f t="shared" si="13"/>
        <v>84</v>
      </c>
      <c r="AI55" s="122"/>
    </row>
    <row r="56" spans="1:35" x14ac:dyDescent="0.25">
      <c r="A56" s="143"/>
      <c r="B56" s="125"/>
      <c r="C56" s="32" t="s">
        <v>49</v>
      </c>
      <c r="D56" s="14" t="s">
        <v>9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 t="s">
        <v>9</v>
      </c>
      <c r="K56" s="14" t="s">
        <v>9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 t="s">
        <v>9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 t="s">
        <v>9</v>
      </c>
      <c r="Y56" s="14" t="s">
        <v>9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 t="s">
        <v>9</v>
      </c>
      <c r="AG56" s="14" t="s">
        <v>9</v>
      </c>
      <c r="AH56" s="28">
        <f t="shared" si="13"/>
        <v>0</v>
      </c>
      <c r="AI56" s="122"/>
    </row>
    <row r="57" spans="1:35" x14ac:dyDescent="0.25">
      <c r="A57" s="143"/>
      <c r="B57" s="126"/>
      <c r="C57" s="32" t="s">
        <v>51</v>
      </c>
      <c r="D57" s="14" t="s">
        <v>9</v>
      </c>
      <c r="E57" s="14">
        <v>2</v>
      </c>
      <c r="F57" s="14">
        <v>1</v>
      </c>
      <c r="G57" s="14">
        <v>1</v>
      </c>
      <c r="H57" s="14">
        <v>1</v>
      </c>
      <c r="I57" s="14">
        <v>0</v>
      </c>
      <c r="J57" s="14" t="s">
        <v>9</v>
      </c>
      <c r="K57" s="14" t="s">
        <v>9</v>
      </c>
      <c r="L57" s="14">
        <v>0</v>
      </c>
      <c r="M57" s="14">
        <v>0</v>
      </c>
      <c r="N57" s="14">
        <v>1</v>
      </c>
      <c r="O57" s="14">
        <v>0</v>
      </c>
      <c r="P57" s="14">
        <v>0</v>
      </c>
      <c r="Q57" s="14">
        <v>0</v>
      </c>
      <c r="R57" s="14" t="s">
        <v>9</v>
      </c>
      <c r="S57" s="14">
        <v>0</v>
      </c>
      <c r="T57" s="14">
        <v>0</v>
      </c>
      <c r="U57" s="14">
        <v>1</v>
      </c>
      <c r="V57" s="14">
        <v>1</v>
      </c>
      <c r="W57" s="14">
        <v>1</v>
      </c>
      <c r="X57" s="14" t="s">
        <v>9</v>
      </c>
      <c r="Y57" s="14" t="s">
        <v>9</v>
      </c>
      <c r="Z57" s="14">
        <v>0</v>
      </c>
      <c r="AA57" s="14">
        <v>0</v>
      </c>
      <c r="AB57" s="14">
        <v>0</v>
      </c>
      <c r="AC57" s="14">
        <v>1</v>
      </c>
      <c r="AD57" s="14">
        <v>0</v>
      </c>
      <c r="AE57" s="14">
        <v>0</v>
      </c>
      <c r="AF57" s="14" t="s">
        <v>9</v>
      </c>
      <c r="AG57" s="14" t="s">
        <v>9</v>
      </c>
      <c r="AH57" s="28">
        <f t="shared" si="13"/>
        <v>10</v>
      </c>
      <c r="AI57" s="122"/>
    </row>
    <row r="58" spans="1:35" x14ac:dyDescent="0.25">
      <c r="A58" s="143"/>
      <c r="B58" s="127" t="s">
        <v>45</v>
      </c>
      <c r="C58" s="30" t="s">
        <v>46</v>
      </c>
      <c r="D58" s="3" t="s">
        <v>9</v>
      </c>
      <c r="E58" s="3">
        <v>7</v>
      </c>
      <c r="F58" s="3">
        <v>3</v>
      </c>
      <c r="G58" s="3">
        <v>1</v>
      </c>
      <c r="H58" s="3">
        <v>7</v>
      </c>
      <c r="I58" s="3">
        <v>1</v>
      </c>
      <c r="J58" s="3" t="s">
        <v>9</v>
      </c>
      <c r="K58" s="3" t="s">
        <v>9</v>
      </c>
      <c r="L58" s="3">
        <v>3</v>
      </c>
      <c r="M58" s="3">
        <v>1</v>
      </c>
      <c r="N58" s="3">
        <v>2</v>
      </c>
      <c r="O58" s="3">
        <v>2</v>
      </c>
      <c r="P58" s="3">
        <v>0</v>
      </c>
      <c r="Q58" s="3">
        <v>2</v>
      </c>
      <c r="R58" s="3" t="s">
        <v>9</v>
      </c>
      <c r="S58" s="3">
        <v>2</v>
      </c>
      <c r="T58" s="3">
        <v>0</v>
      </c>
      <c r="U58" s="2">
        <v>11</v>
      </c>
      <c r="V58" s="3">
        <v>12</v>
      </c>
      <c r="W58" s="3">
        <v>9</v>
      </c>
      <c r="X58" s="3" t="s">
        <v>9</v>
      </c>
      <c r="Y58" s="3" t="s">
        <v>9</v>
      </c>
      <c r="Z58" s="3">
        <v>7</v>
      </c>
      <c r="AA58" s="3">
        <v>2</v>
      </c>
      <c r="AB58" s="3">
        <v>7</v>
      </c>
      <c r="AC58" s="3">
        <v>8</v>
      </c>
      <c r="AD58" s="3">
        <v>5</v>
      </c>
      <c r="AE58" s="3">
        <v>5</v>
      </c>
      <c r="AF58" s="3" t="s">
        <v>9</v>
      </c>
      <c r="AG58" s="3" t="s">
        <v>9</v>
      </c>
      <c r="AH58" s="28">
        <f t="shared" si="13"/>
        <v>97</v>
      </c>
      <c r="AI58" s="86"/>
    </row>
    <row r="59" spans="1:35" ht="13.5" thickBot="1" x14ac:dyDescent="0.3">
      <c r="A59" s="144"/>
      <c r="B59" s="128"/>
      <c r="C59" s="31" t="s">
        <v>47</v>
      </c>
      <c r="D59" s="8" t="s">
        <v>9</v>
      </c>
      <c r="E59" s="8">
        <v>0</v>
      </c>
      <c r="F59" s="8">
        <v>0</v>
      </c>
      <c r="G59" s="8">
        <v>0</v>
      </c>
      <c r="H59" s="8">
        <v>0</v>
      </c>
      <c r="I59" s="8">
        <v>1</v>
      </c>
      <c r="J59" s="8" t="s">
        <v>9</v>
      </c>
      <c r="K59" s="8" t="s">
        <v>9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 t="s">
        <v>9</v>
      </c>
      <c r="S59" s="8">
        <v>1</v>
      </c>
      <c r="T59" s="8">
        <v>0</v>
      </c>
      <c r="U59" s="8">
        <v>0</v>
      </c>
      <c r="V59" s="8">
        <v>1</v>
      </c>
      <c r="W59" s="8">
        <v>0</v>
      </c>
      <c r="X59" s="8" t="s">
        <v>9</v>
      </c>
      <c r="Y59" s="8" t="s">
        <v>9</v>
      </c>
      <c r="Z59" s="8">
        <v>0</v>
      </c>
      <c r="AA59" s="8">
        <v>0</v>
      </c>
      <c r="AB59" s="8">
        <v>1</v>
      </c>
      <c r="AC59" s="8">
        <v>1</v>
      </c>
      <c r="AD59" s="8">
        <v>0</v>
      </c>
      <c r="AE59" s="8">
        <v>2</v>
      </c>
      <c r="AF59" s="8" t="s">
        <v>9</v>
      </c>
      <c r="AG59" s="8" t="s">
        <v>9</v>
      </c>
      <c r="AH59" s="26">
        <f t="shared" si="13"/>
        <v>7</v>
      </c>
      <c r="AI59" s="87"/>
    </row>
    <row r="60" spans="1:35" x14ac:dyDescent="0.25">
      <c r="A60" s="129" t="s">
        <v>23</v>
      </c>
      <c r="B60" s="124" t="s">
        <v>18</v>
      </c>
      <c r="C60" s="29" t="s">
        <v>48</v>
      </c>
      <c r="D60" s="7" t="s">
        <v>9</v>
      </c>
      <c r="E60" s="7">
        <v>13</v>
      </c>
      <c r="F60" s="7">
        <v>4</v>
      </c>
      <c r="G60" s="7">
        <v>6</v>
      </c>
      <c r="H60" s="7">
        <v>13</v>
      </c>
      <c r="I60" s="7">
        <v>8</v>
      </c>
      <c r="J60" s="7" t="s">
        <v>9</v>
      </c>
      <c r="K60" s="7" t="s">
        <v>9</v>
      </c>
      <c r="L60" s="7">
        <v>3</v>
      </c>
      <c r="M60" s="7">
        <v>1</v>
      </c>
      <c r="N60" s="7">
        <v>4</v>
      </c>
      <c r="O60" s="20">
        <v>9</v>
      </c>
      <c r="P60" s="7">
        <v>0</v>
      </c>
      <c r="Q60" s="7">
        <v>2</v>
      </c>
      <c r="R60" s="7" t="s">
        <v>9</v>
      </c>
      <c r="S60" s="7">
        <v>15</v>
      </c>
      <c r="T60" s="7">
        <v>10</v>
      </c>
      <c r="U60" s="7">
        <v>12</v>
      </c>
      <c r="V60" s="7" t="s">
        <v>30</v>
      </c>
      <c r="W60" s="7">
        <v>29</v>
      </c>
      <c r="X60" s="7" t="s">
        <v>9</v>
      </c>
      <c r="Y60" s="7" t="s">
        <v>9</v>
      </c>
      <c r="Z60" s="7">
        <v>7</v>
      </c>
      <c r="AA60" s="7">
        <v>6</v>
      </c>
      <c r="AB60" s="7" t="s">
        <v>29</v>
      </c>
      <c r="AC60" s="7" t="s">
        <v>29</v>
      </c>
      <c r="AD60" s="7" t="s">
        <v>29</v>
      </c>
      <c r="AE60" s="7" t="s">
        <v>29</v>
      </c>
      <c r="AF60" s="7" t="s">
        <v>29</v>
      </c>
      <c r="AG60" s="7" t="s">
        <v>29</v>
      </c>
      <c r="AH60" s="27">
        <f t="shared" ref="AH60:AH65" si="14">SUM(D60:AG60)</f>
        <v>142</v>
      </c>
      <c r="AI60" s="85">
        <f>SUM(AH60:AH65)</f>
        <v>308</v>
      </c>
    </row>
    <row r="61" spans="1:35" x14ac:dyDescent="0.25">
      <c r="A61" s="126"/>
      <c r="B61" s="125"/>
      <c r="C61" s="32" t="s">
        <v>50</v>
      </c>
      <c r="D61" s="14" t="s">
        <v>9</v>
      </c>
      <c r="E61" s="14">
        <v>19</v>
      </c>
      <c r="F61" s="14">
        <v>3</v>
      </c>
      <c r="G61" s="14">
        <v>7</v>
      </c>
      <c r="H61" s="14">
        <v>3</v>
      </c>
      <c r="I61" s="14">
        <v>15</v>
      </c>
      <c r="J61" s="14" t="s">
        <v>9</v>
      </c>
      <c r="K61" s="14" t="s">
        <v>9</v>
      </c>
      <c r="L61" s="14">
        <v>11</v>
      </c>
      <c r="M61" s="14">
        <v>4</v>
      </c>
      <c r="N61" s="14">
        <v>5</v>
      </c>
      <c r="O61" s="14">
        <v>1</v>
      </c>
      <c r="P61" s="14">
        <v>7</v>
      </c>
      <c r="Q61" s="14">
        <v>6</v>
      </c>
      <c r="R61" s="14" t="s">
        <v>9</v>
      </c>
      <c r="S61" s="14">
        <v>9</v>
      </c>
      <c r="T61" s="14">
        <v>4</v>
      </c>
      <c r="U61" s="14">
        <v>3</v>
      </c>
      <c r="V61" s="14" t="s">
        <v>30</v>
      </c>
      <c r="W61" s="14">
        <v>4</v>
      </c>
      <c r="X61" s="14" t="s">
        <v>9</v>
      </c>
      <c r="Y61" s="14" t="s">
        <v>9</v>
      </c>
      <c r="Z61" s="14">
        <v>4</v>
      </c>
      <c r="AA61" s="14">
        <v>4</v>
      </c>
      <c r="AB61" s="14" t="s">
        <v>29</v>
      </c>
      <c r="AC61" s="14" t="s">
        <v>29</v>
      </c>
      <c r="AD61" s="14" t="s">
        <v>29</v>
      </c>
      <c r="AE61" s="14" t="s">
        <v>29</v>
      </c>
      <c r="AF61" s="14" t="s">
        <v>29</v>
      </c>
      <c r="AG61" s="14" t="s">
        <v>29</v>
      </c>
      <c r="AH61" s="28">
        <f t="shared" si="14"/>
        <v>109</v>
      </c>
      <c r="AI61" s="122"/>
    </row>
    <row r="62" spans="1:35" x14ac:dyDescent="0.25">
      <c r="A62" s="126"/>
      <c r="B62" s="125"/>
      <c r="C62" s="32" t="s">
        <v>49</v>
      </c>
      <c r="D62" s="14" t="s">
        <v>9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 t="s">
        <v>9</v>
      </c>
      <c r="K62" s="14" t="s">
        <v>9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 t="s">
        <v>9</v>
      </c>
      <c r="S62" s="14">
        <v>0</v>
      </c>
      <c r="T62" s="14">
        <v>0</v>
      </c>
      <c r="U62" s="14">
        <v>0</v>
      </c>
      <c r="V62" s="14" t="s">
        <v>30</v>
      </c>
      <c r="W62" s="14">
        <v>0</v>
      </c>
      <c r="X62" s="14" t="s">
        <v>9</v>
      </c>
      <c r="Y62" s="14" t="s">
        <v>9</v>
      </c>
      <c r="Z62" s="14">
        <v>0</v>
      </c>
      <c r="AA62" s="14">
        <v>0</v>
      </c>
      <c r="AB62" s="14" t="s">
        <v>29</v>
      </c>
      <c r="AC62" s="14" t="s">
        <v>29</v>
      </c>
      <c r="AD62" s="14" t="s">
        <v>29</v>
      </c>
      <c r="AE62" s="14" t="s">
        <v>29</v>
      </c>
      <c r="AF62" s="14" t="s">
        <v>29</v>
      </c>
      <c r="AG62" s="14" t="s">
        <v>29</v>
      </c>
      <c r="AH62" s="28">
        <f t="shared" si="14"/>
        <v>0</v>
      </c>
      <c r="AI62" s="122"/>
    </row>
    <row r="63" spans="1:35" x14ac:dyDescent="0.25">
      <c r="A63" s="126"/>
      <c r="B63" s="126"/>
      <c r="C63" s="32" t="s">
        <v>51</v>
      </c>
      <c r="D63" s="14" t="s">
        <v>9</v>
      </c>
      <c r="E63" s="14">
        <v>1</v>
      </c>
      <c r="F63" s="14">
        <v>1</v>
      </c>
      <c r="G63" s="14">
        <v>0</v>
      </c>
      <c r="H63" s="14">
        <v>1</v>
      </c>
      <c r="I63" s="14">
        <v>1</v>
      </c>
      <c r="J63" s="14" t="s">
        <v>9</v>
      </c>
      <c r="K63" s="14" t="s">
        <v>9</v>
      </c>
      <c r="L63" s="14">
        <v>1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 t="s">
        <v>9</v>
      </c>
      <c r="S63" s="14">
        <v>1</v>
      </c>
      <c r="T63" s="14">
        <v>0</v>
      </c>
      <c r="U63" s="14">
        <v>0</v>
      </c>
      <c r="V63" s="14" t="s">
        <v>30</v>
      </c>
      <c r="W63" s="14">
        <v>2</v>
      </c>
      <c r="X63" s="14" t="s">
        <v>9</v>
      </c>
      <c r="Y63" s="14" t="s">
        <v>9</v>
      </c>
      <c r="Z63" s="14">
        <v>1</v>
      </c>
      <c r="AA63" s="14">
        <v>0</v>
      </c>
      <c r="AB63" s="14" t="s">
        <v>29</v>
      </c>
      <c r="AC63" s="14" t="s">
        <v>29</v>
      </c>
      <c r="AD63" s="14" t="s">
        <v>29</v>
      </c>
      <c r="AE63" s="14" t="s">
        <v>29</v>
      </c>
      <c r="AF63" s="14" t="s">
        <v>29</v>
      </c>
      <c r="AG63" s="14" t="s">
        <v>29</v>
      </c>
      <c r="AH63" s="28">
        <f t="shared" si="14"/>
        <v>9</v>
      </c>
      <c r="AI63" s="122"/>
    </row>
    <row r="64" spans="1:35" x14ac:dyDescent="0.25">
      <c r="A64" s="130"/>
      <c r="B64" s="127" t="s">
        <v>45</v>
      </c>
      <c r="C64" s="30" t="s">
        <v>46</v>
      </c>
      <c r="D64" s="3" t="s">
        <v>9</v>
      </c>
      <c r="E64" s="3">
        <v>9</v>
      </c>
      <c r="F64" s="3">
        <v>2</v>
      </c>
      <c r="G64" s="3">
        <v>3</v>
      </c>
      <c r="H64" s="3">
        <v>1</v>
      </c>
      <c r="I64" s="3">
        <v>1</v>
      </c>
      <c r="J64" s="3" t="s">
        <v>9</v>
      </c>
      <c r="K64" s="3" t="s">
        <v>9</v>
      </c>
      <c r="L64" s="3">
        <v>2</v>
      </c>
      <c r="M64" s="3">
        <v>2</v>
      </c>
      <c r="N64" s="3">
        <v>0</v>
      </c>
      <c r="O64" s="17">
        <v>0</v>
      </c>
      <c r="P64" s="3">
        <v>2</v>
      </c>
      <c r="Q64" s="3">
        <v>5</v>
      </c>
      <c r="R64" s="3" t="s">
        <v>9</v>
      </c>
      <c r="S64" s="3">
        <v>3</v>
      </c>
      <c r="T64" s="3">
        <v>0</v>
      </c>
      <c r="U64" s="3">
        <v>4</v>
      </c>
      <c r="V64" s="3" t="s">
        <v>30</v>
      </c>
      <c r="W64" s="3">
        <v>8</v>
      </c>
      <c r="X64" s="3" t="s">
        <v>9</v>
      </c>
      <c r="Y64" s="3" t="s">
        <v>9</v>
      </c>
      <c r="Z64" s="3">
        <v>5</v>
      </c>
      <c r="AA64" s="3">
        <v>1</v>
      </c>
      <c r="AB64" s="3" t="s">
        <v>29</v>
      </c>
      <c r="AC64" s="3" t="s">
        <v>29</v>
      </c>
      <c r="AD64" s="3" t="s">
        <v>29</v>
      </c>
      <c r="AE64" s="3" t="s">
        <v>29</v>
      </c>
      <c r="AF64" s="3" t="s">
        <v>29</v>
      </c>
      <c r="AG64" s="3" t="s">
        <v>29</v>
      </c>
      <c r="AH64" s="28">
        <f t="shared" si="14"/>
        <v>48</v>
      </c>
      <c r="AI64" s="86"/>
    </row>
    <row r="65" spans="1:35" ht="13.5" thickBot="1" x14ac:dyDescent="0.3">
      <c r="A65" s="131"/>
      <c r="B65" s="128"/>
      <c r="C65" s="31" t="s">
        <v>47</v>
      </c>
      <c r="D65" s="8" t="s">
        <v>9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 t="s">
        <v>9</v>
      </c>
      <c r="K65" s="8" t="s">
        <v>9</v>
      </c>
      <c r="L65" s="8">
        <v>0</v>
      </c>
      <c r="M65" s="8">
        <v>0</v>
      </c>
      <c r="N65" s="8">
        <v>0</v>
      </c>
      <c r="O65" s="21">
        <v>0</v>
      </c>
      <c r="P65" s="8">
        <v>0</v>
      </c>
      <c r="Q65" s="8">
        <v>0</v>
      </c>
      <c r="R65" s="8" t="s">
        <v>9</v>
      </c>
      <c r="S65" s="8">
        <v>0</v>
      </c>
      <c r="T65" s="8">
        <v>0</v>
      </c>
      <c r="U65" s="8">
        <v>0</v>
      </c>
      <c r="V65" s="8" t="s">
        <v>30</v>
      </c>
      <c r="W65" s="8">
        <v>0</v>
      </c>
      <c r="X65" s="8" t="s">
        <v>9</v>
      </c>
      <c r="Y65" s="8" t="s">
        <v>9</v>
      </c>
      <c r="Z65" s="8">
        <v>0</v>
      </c>
      <c r="AA65" s="8">
        <v>0</v>
      </c>
      <c r="AB65" s="8" t="s">
        <v>29</v>
      </c>
      <c r="AC65" s="8" t="s">
        <v>29</v>
      </c>
      <c r="AD65" s="8" t="s">
        <v>29</v>
      </c>
      <c r="AE65" s="8" t="s">
        <v>29</v>
      </c>
      <c r="AF65" s="8" t="s">
        <v>29</v>
      </c>
      <c r="AG65" s="8" t="s">
        <v>29</v>
      </c>
      <c r="AH65" s="26">
        <f t="shared" si="14"/>
        <v>0</v>
      </c>
      <c r="AI65" s="87"/>
    </row>
    <row r="66" spans="1:35" x14ac:dyDescent="0.25">
      <c r="A66" s="106" t="s">
        <v>39</v>
      </c>
      <c r="B66" s="124" t="s">
        <v>18</v>
      </c>
      <c r="C66" s="29" t="s">
        <v>48</v>
      </c>
      <c r="D66" s="7" t="s">
        <v>9</v>
      </c>
      <c r="E66" s="7">
        <v>25</v>
      </c>
      <c r="F66" s="7">
        <v>5</v>
      </c>
      <c r="G66" s="7">
        <v>17</v>
      </c>
      <c r="H66" s="7">
        <v>9</v>
      </c>
      <c r="I66" s="7">
        <v>8</v>
      </c>
      <c r="J66" s="7" t="s">
        <v>9</v>
      </c>
      <c r="K66" s="7" t="s">
        <v>9</v>
      </c>
      <c r="L66" s="7">
        <v>3</v>
      </c>
      <c r="M66" s="7">
        <v>4</v>
      </c>
      <c r="N66" s="7">
        <v>13</v>
      </c>
      <c r="O66" s="7">
        <v>0</v>
      </c>
      <c r="P66" s="7">
        <v>0</v>
      </c>
      <c r="Q66" s="20" t="s">
        <v>9</v>
      </c>
      <c r="R66" s="7" t="s">
        <v>9</v>
      </c>
      <c r="S66" s="7" t="s">
        <v>30</v>
      </c>
      <c r="T66" s="7" t="s">
        <v>30</v>
      </c>
      <c r="U66" s="7" t="s">
        <v>30</v>
      </c>
      <c r="V66" s="7" t="s">
        <v>30</v>
      </c>
      <c r="W66" s="7" t="s">
        <v>30</v>
      </c>
      <c r="X66" s="7" t="s">
        <v>30</v>
      </c>
      <c r="Y66" s="7" t="s">
        <v>30</v>
      </c>
      <c r="Z66" s="7" t="s">
        <v>30</v>
      </c>
      <c r="AA66" s="7" t="s">
        <v>30</v>
      </c>
      <c r="AB66" s="7" t="s">
        <v>30</v>
      </c>
      <c r="AC66" s="7" t="s">
        <v>30</v>
      </c>
      <c r="AD66" s="7" t="s">
        <v>30</v>
      </c>
      <c r="AE66" s="7" t="s">
        <v>30</v>
      </c>
      <c r="AF66" s="7" t="s">
        <v>30</v>
      </c>
      <c r="AG66" s="7" t="s">
        <v>30</v>
      </c>
      <c r="AH66" s="27">
        <f t="shared" ref="AH66:AH71" si="15">SUM(D66:AG66)</f>
        <v>84</v>
      </c>
      <c r="AI66" s="85">
        <f>SUM(AH66:AH71)</f>
        <v>191</v>
      </c>
    </row>
    <row r="67" spans="1:35" x14ac:dyDescent="0.25">
      <c r="A67" s="72"/>
      <c r="B67" s="125"/>
      <c r="C67" s="32" t="s">
        <v>50</v>
      </c>
      <c r="D67" s="14" t="s">
        <v>9</v>
      </c>
      <c r="E67" s="14">
        <v>4</v>
      </c>
      <c r="F67" s="14">
        <v>7</v>
      </c>
      <c r="G67" s="14">
        <v>4</v>
      </c>
      <c r="H67" s="14">
        <v>2</v>
      </c>
      <c r="I67" s="14">
        <v>6</v>
      </c>
      <c r="J67" s="14" t="s">
        <v>9</v>
      </c>
      <c r="K67" s="14" t="s">
        <v>9</v>
      </c>
      <c r="L67" s="14">
        <v>6</v>
      </c>
      <c r="M67" s="14">
        <v>7</v>
      </c>
      <c r="N67" s="14">
        <v>5</v>
      </c>
      <c r="O67" s="14">
        <v>11</v>
      </c>
      <c r="P67" s="14">
        <v>3</v>
      </c>
      <c r="Q67" s="22" t="s">
        <v>9</v>
      </c>
      <c r="R67" s="14" t="s">
        <v>9</v>
      </c>
      <c r="S67" s="14" t="s">
        <v>30</v>
      </c>
      <c r="T67" s="14" t="s">
        <v>30</v>
      </c>
      <c r="U67" s="14" t="s">
        <v>30</v>
      </c>
      <c r="V67" s="14" t="s">
        <v>30</v>
      </c>
      <c r="W67" s="14" t="s">
        <v>30</v>
      </c>
      <c r="X67" s="14" t="s">
        <v>30</v>
      </c>
      <c r="Y67" s="14" t="s">
        <v>30</v>
      </c>
      <c r="Z67" s="14" t="s">
        <v>30</v>
      </c>
      <c r="AA67" s="14" t="s">
        <v>30</v>
      </c>
      <c r="AB67" s="14" t="s">
        <v>30</v>
      </c>
      <c r="AC67" s="14" t="s">
        <v>30</v>
      </c>
      <c r="AD67" s="14" t="s">
        <v>30</v>
      </c>
      <c r="AE67" s="14" t="s">
        <v>30</v>
      </c>
      <c r="AF67" s="14" t="s">
        <v>30</v>
      </c>
      <c r="AG67" s="14" t="s">
        <v>30</v>
      </c>
      <c r="AH67" s="28">
        <f t="shared" si="15"/>
        <v>55</v>
      </c>
      <c r="AI67" s="122"/>
    </row>
    <row r="68" spans="1:35" x14ac:dyDescent="0.25">
      <c r="A68" s="72"/>
      <c r="B68" s="125"/>
      <c r="C68" s="32" t="s">
        <v>49</v>
      </c>
      <c r="D68" s="14" t="s">
        <v>9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 t="s">
        <v>9</v>
      </c>
      <c r="K68" s="14" t="s">
        <v>9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22" t="s">
        <v>9</v>
      </c>
      <c r="R68" s="14" t="s">
        <v>9</v>
      </c>
      <c r="S68" s="14" t="s">
        <v>30</v>
      </c>
      <c r="T68" s="14" t="s">
        <v>30</v>
      </c>
      <c r="U68" s="14" t="s">
        <v>30</v>
      </c>
      <c r="V68" s="14" t="s">
        <v>30</v>
      </c>
      <c r="W68" s="14" t="s">
        <v>30</v>
      </c>
      <c r="X68" s="14" t="s">
        <v>30</v>
      </c>
      <c r="Y68" s="14" t="s">
        <v>30</v>
      </c>
      <c r="Z68" s="14" t="s">
        <v>30</v>
      </c>
      <c r="AA68" s="14" t="s">
        <v>30</v>
      </c>
      <c r="AB68" s="14" t="s">
        <v>30</v>
      </c>
      <c r="AC68" s="14" t="s">
        <v>30</v>
      </c>
      <c r="AD68" s="14" t="s">
        <v>30</v>
      </c>
      <c r="AE68" s="14" t="s">
        <v>30</v>
      </c>
      <c r="AF68" s="14" t="s">
        <v>30</v>
      </c>
      <c r="AG68" s="14" t="s">
        <v>30</v>
      </c>
      <c r="AH68" s="28">
        <f t="shared" si="15"/>
        <v>0</v>
      </c>
      <c r="AI68" s="122"/>
    </row>
    <row r="69" spans="1:35" x14ac:dyDescent="0.25">
      <c r="A69" s="72"/>
      <c r="B69" s="126"/>
      <c r="C69" s="32" t="s">
        <v>51</v>
      </c>
      <c r="D69" s="14" t="s">
        <v>9</v>
      </c>
      <c r="E69" s="14">
        <v>0</v>
      </c>
      <c r="F69" s="14">
        <v>3</v>
      </c>
      <c r="G69" s="14">
        <v>0</v>
      </c>
      <c r="H69" s="14">
        <v>1</v>
      </c>
      <c r="I69" s="14">
        <v>0</v>
      </c>
      <c r="J69" s="14" t="s">
        <v>9</v>
      </c>
      <c r="K69" s="14" t="s">
        <v>9</v>
      </c>
      <c r="L69" s="14">
        <v>1</v>
      </c>
      <c r="M69" s="14">
        <v>4</v>
      </c>
      <c r="N69" s="14">
        <v>3</v>
      </c>
      <c r="O69" s="14">
        <v>0</v>
      </c>
      <c r="P69" s="14">
        <v>0</v>
      </c>
      <c r="Q69" s="22" t="s">
        <v>9</v>
      </c>
      <c r="R69" s="14" t="s">
        <v>9</v>
      </c>
      <c r="S69" s="14" t="s">
        <v>30</v>
      </c>
      <c r="T69" s="14" t="s">
        <v>30</v>
      </c>
      <c r="U69" s="14" t="s">
        <v>30</v>
      </c>
      <c r="V69" s="14" t="s">
        <v>30</v>
      </c>
      <c r="W69" s="14" t="s">
        <v>30</v>
      </c>
      <c r="X69" s="14" t="s">
        <v>30</v>
      </c>
      <c r="Y69" s="14" t="s">
        <v>30</v>
      </c>
      <c r="Z69" s="14" t="s">
        <v>30</v>
      </c>
      <c r="AA69" s="14" t="s">
        <v>30</v>
      </c>
      <c r="AB69" s="14" t="s">
        <v>30</v>
      </c>
      <c r="AC69" s="14" t="s">
        <v>30</v>
      </c>
      <c r="AD69" s="14" t="s">
        <v>30</v>
      </c>
      <c r="AE69" s="14" t="s">
        <v>30</v>
      </c>
      <c r="AF69" s="14" t="s">
        <v>30</v>
      </c>
      <c r="AG69" s="14" t="s">
        <v>30</v>
      </c>
      <c r="AH69" s="28">
        <f t="shared" si="15"/>
        <v>12</v>
      </c>
      <c r="AI69" s="122"/>
    </row>
    <row r="70" spans="1:35" x14ac:dyDescent="0.25">
      <c r="A70" s="72"/>
      <c r="B70" s="127" t="s">
        <v>45</v>
      </c>
      <c r="C70" s="30" t="s">
        <v>46</v>
      </c>
      <c r="D70" s="3" t="s">
        <v>9</v>
      </c>
      <c r="E70" s="3">
        <v>3</v>
      </c>
      <c r="F70" s="3">
        <v>6</v>
      </c>
      <c r="G70" s="3">
        <v>7</v>
      </c>
      <c r="H70" s="3">
        <v>0</v>
      </c>
      <c r="I70" s="3">
        <v>3</v>
      </c>
      <c r="J70" s="3" t="s">
        <v>9</v>
      </c>
      <c r="K70" s="3" t="s">
        <v>9</v>
      </c>
      <c r="L70" s="3">
        <v>6</v>
      </c>
      <c r="M70" s="3">
        <v>6</v>
      </c>
      <c r="N70" s="3">
        <v>7</v>
      </c>
      <c r="O70" s="3">
        <v>1</v>
      </c>
      <c r="P70" s="3">
        <v>0</v>
      </c>
      <c r="Q70" s="17" t="s">
        <v>9</v>
      </c>
      <c r="R70" s="3" t="s">
        <v>9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  <c r="AB70" s="3" t="s">
        <v>30</v>
      </c>
      <c r="AC70" s="3" t="s">
        <v>30</v>
      </c>
      <c r="AD70" s="3" t="s">
        <v>30</v>
      </c>
      <c r="AE70" s="3" t="s">
        <v>30</v>
      </c>
      <c r="AF70" s="3" t="s">
        <v>30</v>
      </c>
      <c r="AG70" s="3" t="s">
        <v>30</v>
      </c>
      <c r="AH70" s="28">
        <f t="shared" si="15"/>
        <v>39</v>
      </c>
      <c r="AI70" s="86"/>
    </row>
    <row r="71" spans="1:35" ht="13.5" thickBot="1" x14ac:dyDescent="0.3">
      <c r="A71" s="107"/>
      <c r="B71" s="128"/>
      <c r="C71" s="31" t="s">
        <v>47</v>
      </c>
      <c r="D71" s="8" t="s">
        <v>9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 t="s">
        <v>9</v>
      </c>
      <c r="K71" s="8" t="s">
        <v>9</v>
      </c>
      <c r="L71" s="8">
        <v>0</v>
      </c>
      <c r="M71" s="8">
        <v>0</v>
      </c>
      <c r="N71" s="8">
        <v>0</v>
      </c>
      <c r="O71" s="8">
        <v>1</v>
      </c>
      <c r="P71" s="8">
        <v>0</v>
      </c>
      <c r="Q71" s="21" t="s">
        <v>9</v>
      </c>
      <c r="R71" s="8" t="s">
        <v>9</v>
      </c>
      <c r="S71" s="8" t="s">
        <v>30</v>
      </c>
      <c r="T71" s="8" t="s">
        <v>30</v>
      </c>
      <c r="U71" s="8" t="s">
        <v>30</v>
      </c>
      <c r="V71" s="8" t="s">
        <v>30</v>
      </c>
      <c r="W71" s="8" t="s">
        <v>30</v>
      </c>
      <c r="X71" s="8" t="s">
        <v>30</v>
      </c>
      <c r="Y71" s="8" t="s">
        <v>30</v>
      </c>
      <c r="Z71" s="8" t="s">
        <v>30</v>
      </c>
      <c r="AA71" s="8" t="s">
        <v>30</v>
      </c>
      <c r="AB71" s="8" t="s">
        <v>30</v>
      </c>
      <c r="AC71" s="8" t="s">
        <v>30</v>
      </c>
      <c r="AD71" s="8" t="s">
        <v>30</v>
      </c>
      <c r="AE71" s="8" t="s">
        <v>30</v>
      </c>
      <c r="AF71" s="8" t="s">
        <v>30</v>
      </c>
      <c r="AG71" s="8" t="s">
        <v>30</v>
      </c>
      <c r="AH71" s="26">
        <f t="shared" si="15"/>
        <v>1</v>
      </c>
      <c r="AI71" s="87"/>
    </row>
    <row r="72" spans="1:35" ht="13.5" thickBot="1" x14ac:dyDescent="0.3">
      <c r="A72" s="110" t="s">
        <v>1</v>
      </c>
      <c r="B72" s="141"/>
      <c r="C72" s="111"/>
      <c r="D72" s="9" t="s">
        <v>29</v>
      </c>
      <c r="E72" s="9">
        <f>SUM(E24:E71)</f>
        <v>271</v>
      </c>
      <c r="F72" s="9">
        <f t="shared" ref="F72:AH72" si="16">SUM(F24:F71)</f>
        <v>186</v>
      </c>
      <c r="G72" s="9">
        <f t="shared" si="16"/>
        <v>167</v>
      </c>
      <c r="H72" s="9">
        <f t="shared" si="16"/>
        <v>127</v>
      </c>
      <c r="I72" s="9">
        <f t="shared" si="16"/>
        <v>166</v>
      </c>
      <c r="J72" s="9">
        <f t="shared" si="16"/>
        <v>79</v>
      </c>
      <c r="K72" s="9">
        <f t="shared" si="16"/>
        <v>0</v>
      </c>
      <c r="L72" s="9">
        <f t="shared" si="16"/>
        <v>147</v>
      </c>
      <c r="M72" s="9">
        <f t="shared" si="16"/>
        <v>165</v>
      </c>
      <c r="N72" s="9">
        <f t="shared" si="16"/>
        <v>170</v>
      </c>
      <c r="O72" s="9">
        <f t="shared" si="16"/>
        <v>148</v>
      </c>
      <c r="P72" s="9">
        <f t="shared" si="16"/>
        <v>68</v>
      </c>
      <c r="Q72" s="9">
        <f t="shared" si="16"/>
        <v>73</v>
      </c>
      <c r="R72" s="9">
        <f t="shared" si="16"/>
        <v>0</v>
      </c>
      <c r="S72" s="9">
        <f t="shared" si="16"/>
        <v>148</v>
      </c>
      <c r="T72" s="9">
        <f t="shared" si="16"/>
        <v>102</v>
      </c>
      <c r="U72" s="9">
        <f t="shared" si="16"/>
        <v>118</v>
      </c>
      <c r="V72" s="9">
        <f t="shared" si="16"/>
        <v>106</v>
      </c>
      <c r="W72" s="9">
        <f t="shared" si="16"/>
        <v>197</v>
      </c>
      <c r="X72" s="9">
        <f t="shared" si="16"/>
        <v>85</v>
      </c>
      <c r="Y72" s="9">
        <f t="shared" si="16"/>
        <v>0</v>
      </c>
      <c r="Z72" s="9">
        <f t="shared" si="16"/>
        <v>188</v>
      </c>
      <c r="AA72" s="9">
        <f t="shared" si="16"/>
        <v>121</v>
      </c>
      <c r="AB72" s="9">
        <f t="shared" si="16"/>
        <v>167</v>
      </c>
      <c r="AC72" s="9">
        <f t="shared" si="16"/>
        <v>181</v>
      </c>
      <c r="AD72" s="9">
        <f t="shared" si="16"/>
        <v>172</v>
      </c>
      <c r="AE72" s="9">
        <f t="shared" si="16"/>
        <v>74</v>
      </c>
      <c r="AF72" s="9">
        <f t="shared" si="16"/>
        <v>0</v>
      </c>
      <c r="AG72" s="9">
        <f t="shared" si="16"/>
        <v>132</v>
      </c>
      <c r="AH72" s="9">
        <f t="shared" si="16"/>
        <v>3558</v>
      </c>
      <c r="AI72" s="33">
        <f>SUM(AI24:AI71)</f>
        <v>3558</v>
      </c>
    </row>
    <row r="74" spans="1:35" s="5" customFormat="1" ht="12" x14ac:dyDescent="0.25">
      <c r="D74" s="1" t="s">
        <v>10</v>
      </c>
      <c r="E74" s="109" t="s">
        <v>11</v>
      </c>
      <c r="F74" s="109"/>
      <c r="G74" s="6"/>
      <c r="H74" s="1" t="s">
        <v>9</v>
      </c>
      <c r="I74" s="109" t="s">
        <v>12</v>
      </c>
      <c r="J74" s="109"/>
      <c r="K74" s="6"/>
      <c r="L74" s="1" t="s">
        <v>13</v>
      </c>
      <c r="M74" s="109" t="s">
        <v>14</v>
      </c>
      <c r="N74" s="109"/>
      <c r="O74" s="109"/>
      <c r="P74" s="109"/>
      <c r="Q74" s="109"/>
      <c r="R74" s="6"/>
      <c r="S74" s="1" t="s">
        <v>15</v>
      </c>
      <c r="T74" s="109" t="s">
        <v>16</v>
      </c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</row>
    <row r="75" spans="1:35" x14ac:dyDescent="0.25">
      <c r="H75" s="1" t="s">
        <v>55</v>
      </c>
      <c r="I75" s="109" t="s">
        <v>56</v>
      </c>
      <c r="J75" s="109"/>
    </row>
  </sheetData>
  <mergeCells count="70">
    <mergeCell ref="A6:C6"/>
    <mergeCell ref="AH6:AI6"/>
    <mergeCell ref="A4:C4"/>
    <mergeCell ref="AH4:AI4"/>
    <mergeCell ref="A1:AI1"/>
    <mergeCell ref="A2:C3"/>
    <mergeCell ref="AH2:AI3"/>
    <mergeCell ref="A16:A17"/>
    <mergeCell ref="B16:C17"/>
    <mergeCell ref="AH16:AH17"/>
    <mergeCell ref="AI16:AI17"/>
    <mergeCell ref="A5:C5"/>
    <mergeCell ref="AH5:AI5"/>
    <mergeCell ref="A13:C13"/>
    <mergeCell ref="AH13:AI13"/>
    <mergeCell ref="A15:AI15"/>
    <mergeCell ref="A12:C12"/>
    <mergeCell ref="AH12:AI12"/>
    <mergeCell ref="A10:C10"/>
    <mergeCell ref="AH10:AI10"/>
    <mergeCell ref="A11:C11"/>
    <mergeCell ref="AH11:AI11"/>
    <mergeCell ref="A8:C8"/>
    <mergeCell ref="AH8:AI8"/>
    <mergeCell ref="A9:C9"/>
    <mergeCell ref="AH9:AI9"/>
    <mergeCell ref="A7:C7"/>
    <mergeCell ref="AH7:AI7"/>
    <mergeCell ref="A18:A23"/>
    <mergeCell ref="B18:B21"/>
    <mergeCell ref="AI18:AI23"/>
    <mergeCell ref="B22:B23"/>
    <mergeCell ref="A24:A29"/>
    <mergeCell ref="B24:B27"/>
    <mergeCell ref="AI24:AI29"/>
    <mergeCell ref="B28:B29"/>
    <mergeCell ref="A36:A41"/>
    <mergeCell ref="B36:B39"/>
    <mergeCell ref="AI36:AI41"/>
    <mergeCell ref="B40:B41"/>
    <mergeCell ref="A30:A35"/>
    <mergeCell ref="B30:B33"/>
    <mergeCell ref="AI30:AI35"/>
    <mergeCell ref="B34:B35"/>
    <mergeCell ref="A54:A59"/>
    <mergeCell ref="B54:B57"/>
    <mergeCell ref="AI54:AI59"/>
    <mergeCell ref="B58:B59"/>
    <mergeCell ref="A42:A47"/>
    <mergeCell ref="B42:B45"/>
    <mergeCell ref="AI42:AI47"/>
    <mergeCell ref="B46:B47"/>
    <mergeCell ref="A48:A53"/>
    <mergeCell ref="B48:B51"/>
    <mergeCell ref="AI48:AI53"/>
    <mergeCell ref="B52:B53"/>
    <mergeCell ref="A60:A65"/>
    <mergeCell ref="B60:B63"/>
    <mergeCell ref="AI60:AI65"/>
    <mergeCell ref="B64:B65"/>
    <mergeCell ref="I75:J75"/>
    <mergeCell ref="E74:F74"/>
    <mergeCell ref="I74:J74"/>
    <mergeCell ref="M74:Q74"/>
    <mergeCell ref="T74:AI74"/>
    <mergeCell ref="A72:C72"/>
    <mergeCell ref="A66:A71"/>
    <mergeCell ref="B66:B69"/>
    <mergeCell ref="AI66:AI71"/>
    <mergeCell ref="B70:B7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97BA-2DB9-4EB0-B4D2-1F48D1802E96}">
  <dimension ref="A1:AP68"/>
  <sheetViews>
    <sheetView zoomScale="90" zoomScaleNormal="90" workbookViewId="0">
      <selection activeCell="AG59" sqref="AG59:AG64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85546875" style="2" customWidth="1"/>
    <col min="5" max="5" width="4" style="2" bestFit="1" customWidth="1"/>
    <col min="6" max="6" width="5" style="2" bestFit="1" customWidth="1"/>
    <col min="7" max="7" width="4" style="2" bestFit="1" customWidth="1"/>
    <col min="8" max="8" width="4.5703125" style="2" customWidth="1"/>
    <col min="9" max="9" width="4.7109375" style="2" customWidth="1"/>
    <col min="10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4.42578125" style="2" bestFit="1" customWidth="1"/>
    <col min="22" max="23" width="4" style="2" bestFit="1" customWidth="1"/>
    <col min="24" max="25" width="4.140625" style="2" bestFit="1" customWidth="1"/>
    <col min="26" max="27" width="5" style="2" bestFit="1" customWidth="1"/>
    <col min="28" max="29" width="4" style="2" bestFit="1" customWidth="1"/>
    <col min="30" max="30" width="3.7109375" style="2" customWidth="1"/>
    <col min="31" max="32" width="5" style="2" bestFit="1" customWidth="1"/>
    <col min="33" max="33" width="5.140625" style="2" customWidth="1"/>
    <col min="34" max="34" width="4.85546875" style="2" customWidth="1"/>
    <col min="35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42" ht="22.5" customHeight="1" thickBot="1" x14ac:dyDescent="0.3">
      <c r="A1" s="76" t="s">
        <v>67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42" ht="59.25" customHeight="1" x14ac:dyDescent="0.25">
      <c r="A2" s="77" t="s">
        <v>0</v>
      </c>
      <c r="B2" s="112"/>
      <c r="C2" s="78"/>
      <c r="D2" s="11">
        <v>45839</v>
      </c>
      <c r="E2" s="11">
        <v>45840</v>
      </c>
      <c r="F2" s="11">
        <v>45841</v>
      </c>
      <c r="G2" s="11">
        <v>45842</v>
      </c>
      <c r="H2" s="11">
        <v>45843</v>
      </c>
      <c r="I2" s="11">
        <v>45844</v>
      </c>
      <c r="J2" s="11">
        <v>45845</v>
      </c>
      <c r="K2" s="11">
        <v>45846</v>
      </c>
      <c r="L2" s="11">
        <v>45847</v>
      </c>
      <c r="M2" s="11">
        <v>45848</v>
      </c>
      <c r="N2" s="11">
        <v>45849</v>
      </c>
      <c r="O2" s="11">
        <v>45850</v>
      </c>
      <c r="P2" s="11">
        <v>45851</v>
      </c>
      <c r="Q2" s="11">
        <v>45852</v>
      </c>
      <c r="R2" s="11">
        <v>45853</v>
      </c>
      <c r="S2" s="11">
        <v>45854</v>
      </c>
      <c r="T2" s="11">
        <v>45855</v>
      </c>
      <c r="U2" s="11">
        <v>45856</v>
      </c>
      <c r="V2" s="11">
        <v>45857</v>
      </c>
      <c r="W2" s="11">
        <v>45858</v>
      </c>
      <c r="X2" s="11">
        <v>45859</v>
      </c>
      <c r="Y2" s="11">
        <v>45860</v>
      </c>
      <c r="Z2" s="11">
        <v>45861</v>
      </c>
      <c r="AA2" s="11">
        <v>45862</v>
      </c>
      <c r="AB2" s="11">
        <v>45863</v>
      </c>
      <c r="AC2" s="11">
        <v>45864</v>
      </c>
      <c r="AD2" s="11">
        <v>45865</v>
      </c>
      <c r="AE2" s="11">
        <v>45866</v>
      </c>
      <c r="AF2" s="11">
        <v>45867</v>
      </c>
      <c r="AG2" s="11">
        <v>45868</v>
      </c>
      <c r="AH2" s="11">
        <v>45869</v>
      </c>
      <c r="AI2" s="81" t="s">
        <v>1</v>
      </c>
      <c r="AJ2" s="82"/>
    </row>
    <row r="3" spans="1:42" ht="71.25" customHeight="1" x14ac:dyDescent="0.25">
      <c r="A3" s="79"/>
      <c r="B3" s="113"/>
      <c r="C3" s="80"/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2</v>
      </c>
      <c r="J3" s="12" t="s">
        <v>3</v>
      </c>
      <c r="K3" s="12" t="s">
        <v>4</v>
      </c>
      <c r="L3" s="12" t="s">
        <v>5</v>
      </c>
      <c r="M3" s="12" t="s">
        <v>6</v>
      </c>
      <c r="N3" s="12" t="s">
        <v>7</v>
      </c>
      <c r="O3" s="12" t="s">
        <v>8</v>
      </c>
      <c r="P3" s="12" t="s">
        <v>2</v>
      </c>
      <c r="Q3" s="12" t="s">
        <v>3</v>
      </c>
      <c r="R3" s="12" t="s">
        <v>4</v>
      </c>
      <c r="S3" s="12" t="s">
        <v>5</v>
      </c>
      <c r="T3" s="12" t="s">
        <v>6</v>
      </c>
      <c r="U3" s="12" t="s">
        <v>7</v>
      </c>
      <c r="V3" s="12" t="s">
        <v>8</v>
      </c>
      <c r="W3" s="12" t="s">
        <v>2</v>
      </c>
      <c r="X3" s="12" t="s">
        <v>3</v>
      </c>
      <c r="Y3" s="12" t="s">
        <v>4</v>
      </c>
      <c r="Z3" s="12" t="s">
        <v>5</v>
      </c>
      <c r="AA3" s="12" t="s">
        <v>6</v>
      </c>
      <c r="AB3" s="12" t="s">
        <v>7</v>
      </c>
      <c r="AC3" s="12" t="s">
        <v>8</v>
      </c>
      <c r="AD3" s="12" t="s">
        <v>2</v>
      </c>
      <c r="AE3" s="12" t="s">
        <v>3</v>
      </c>
      <c r="AF3" s="12" t="s">
        <v>4</v>
      </c>
      <c r="AG3" s="12" t="s">
        <v>5</v>
      </c>
      <c r="AH3" s="12" t="s">
        <v>6</v>
      </c>
      <c r="AI3" s="83"/>
      <c r="AJ3" s="84"/>
      <c r="AP3" s="2" t="s">
        <v>62</v>
      </c>
    </row>
    <row r="4" spans="1:42" x14ac:dyDescent="0.25">
      <c r="A4" s="72" t="s">
        <v>34</v>
      </c>
      <c r="B4" s="114"/>
      <c r="C4" s="73"/>
      <c r="D4" s="3">
        <v>318</v>
      </c>
      <c r="E4" s="13">
        <v>193</v>
      </c>
      <c r="F4" s="13">
        <v>290</v>
      </c>
      <c r="G4" s="3">
        <v>151</v>
      </c>
      <c r="H4" s="13">
        <v>252</v>
      </c>
      <c r="I4" s="3" t="s">
        <v>9</v>
      </c>
      <c r="J4" s="3">
        <v>135</v>
      </c>
      <c r="K4" s="3">
        <v>12</v>
      </c>
      <c r="L4" s="3">
        <v>103</v>
      </c>
      <c r="M4" s="3">
        <v>151</v>
      </c>
      <c r="N4" s="3">
        <v>76</v>
      </c>
      <c r="O4" s="18" t="s">
        <v>9</v>
      </c>
      <c r="P4" s="18" t="s">
        <v>9</v>
      </c>
      <c r="Q4" s="18">
        <v>106</v>
      </c>
      <c r="R4" s="3">
        <v>88</v>
      </c>
      <c r="S4" s="13">
        <v>43</v>
      </c>
      <c r="T4" s="18">
        <v>41</v>
      </c>
      <c r="U4" s="3">
        <v>18</v>
      </c>
      <c r="V4" s="17">
        <v>66</v>
      </c>
      <c r="W4" s="13" t="s">
        <v>9</v>
      </c>
      <c r="X4" s="3">
        <v>178</v>
      </c>
      <c r="Y4" s="3">
        <v>170</v>
      </c>
      <c r="Z4" s="13">
        <v>189</v>
      </c>
      <c r="AA4" s="3">
        <v>187</v>
      </c>
      <c r="AB4" s="3">
        <v>241</v>
      </c>
      <c r="AC4" s="13" t="s">
        <v>9</v>
      </c>
      <c r="AD4" s="13" t="s">
        <v>9</v>
      </c>
      <c r="AE4" s="13">
        <v>262</v>
      </c>
      <c r="AF4" s="13">
        <v>238</v>
      </c>
      <c r="AG4" s="3">
        <v>326</v>
      </c>
      <c r="AH4" s="18">
        <v>204</v>
      </c>
      <c r="AI4" s="74">
        <f t="shared" ref="AI4:AI11" si="0">SUM(D4:AH4)</f>
        <v>4038</v>
      </c>
      <c r="AJ4" s="75"/>
    </row>
    <row r="5" spans="1:42" x14ac:dyDescent="0.25">
      <c r="A5" s="72" t="s">
        <v>32</v>
      </c>
      <c r="B5" s="114"/>
      <c r="C5" s="73"/>
      <c r="D5" s="3">
        <v>316</v>
      </c>
      <c r="E5" s="3">
        <v>161</v>
      </c>
      <c r="F5" s="3">
        <v>171</v>
      </c>
      <c r="G5" s="3">
        <v>202</v>
      </c>
      <c r="H5" s="3">
        <v>185</v>
      </c>
      <c r="I5" s="3" t="s">
        <v>9</v>
      </c>
      <c r="J5" s="3">
        <v>204</v>
      </c>
      <c r="K5" s="3">
        <v>61</v>
      </c>
      <c r="L5" s="3">
        <v>102</v>
      </c>
      <c r="M5" s="3">
        <v>112</v>
      </c>
      <c r="N5" s="3">
        <v>99</v>
      </c>
      <c r="O5" s="3" t="s">
        <v>9</v>
      </c>
      <c r="P5" s="3" t="s">
        <v>9</v>
      </c>
      <c r="Q5" s="3">
        <v>93</v>
      </c>
      <c r="R5" s="3">
        <v>101</v>
      </c>
      <c r="S5" s="3" t="s">
        <v>30</v>
      </c>
      <c r="T5" s="3" t="s">
        <v>30</v>
      </c>
      <c r="U5" s="3" t="s">
        <v>30</v>
      </c>
      <c r="V5" s="3">
        <v>65</v>
      </c>
      <c r="W5" s="3" t="s">
        <v>9</v>
      </c>
      <c r="X5" s="3">
        <v>200</v>
      </c>
      <c r="Y5" s="3">
        <v>140</v>
      </c>
      <c r="Z5" s="3">
        <v>169</v>
      </c>
      <c r="AA5" s="3">
        <v>335</v>
      </c>
      <c r="AB5" s="3">
        <v>210</v>
      </c>
      <c r="AC5" s="3" t="s">
        <v>9</v>
      </c>
      <c r="AD5" s="3">
        <v>13</v>
      </c>
      <c r="AE5" s="3" t="s">
        <v>9</v>
      </c>
      <c r="AF5" s="3">
        <v>266</v>
      </c>
      <c r="AG5" s="3">
        <v>221</v>
      </c>
      <c r="AH5" s="3">
        <v>126</v>
      </c>
      <c r="AI5" s="74">
        <f>SUM(D5:AH5)</f>
        <v>3552</v>
      </c>
      <c r="AJ5" s="75"/>
    </row>
    <row r="6" spans="1:42" x14ac:dyDescent="0.25">
      <c r="A6" s="72" t="s">
        <v>38</v>
      </c>
      <c r="B6" s="114"/>
      <c r="C6" s="73"/>
      <c r="D6" s="3">
        <v>264</v>
      </c>
      <c r="E6" s="3">
        <v>219</v>
      </c>
      <c r="F6" s="3">
        <v>91</v>
      </c>
      <c r="G6" s="3" t="s">
        <v>9</v>
      </c>
      <c r="H6" s="3" t="s">
        <v>9</v>
      </c>
      <c r="I6" s="3" t="s">
        <v>9</v>
      </c>
      <c r="J6" s="3">
        <v>20</v>
      </c>
      <c r="K6" s="3">
        <v>30</v>
      </c>
      <c r="L6" s="3">
        <v>69</v>
      </c>
      <c r="M6" s="3">
        <v>87</v>
      </c>
      <c r="N6" s="3">
        <v>74</v>
      </c>
      <c r="O6" s="17">
        <v>90</v>
      </c>
      <c r="P6" s="17" t="s">
        <v>9</v>
      </c>
      <c r="Q6" s="18">
        <v>68</v>
      </c>
      <c r="R6" s="3">
        <v>77</v>
      </c>
      <c r="S6" s="3">
        <v>61</v>
      </c>
      <c r="T6" s="3">
        <v>50</v>
      </c>
      <c r="U6" s="3">
        <v>10</v>
      </c>
      <c r="V6" s="17" t="s">
        <v>9</v>
      </c>
      <c r="W6" s="3">
        <v>43</v>
      </c>
      <c r="X6" s="3">
        <v>95</v>
      </c>
      <c r="Y6" s="3">
        <v>123</v>
      </c>
      <c r="Z6" s="3">
        <v>160</v>
      </c>
      <c r="AA6" s="3">
        <v>224</v>
      </c>
      <c r="AB6" s="3" t="s">
        <v>9</v>
      </c>
      <c r="AC6" s="3">
        <v>94</v>
      </c>
      <c r="AD6" s="3" t="s">
        <v>9</v>
      </c>
      <c r="AE6" s="3">
        <v>230</v>
      </c>
      <c r="AF6" s="3">
        <v>254</v>
      </c>
      <c r="AG6" s="3">
        <v>154</v>
      </c>
      <c r="AH6" s="17">
        <v>177</v>
      </c>
      <c r="AI6" s="74">
        <f>SUM(D6:AH6)</f>
        <v>2764</v>
      </c>
      <c r="AJ6" s="75"/>
    </row>
    <row r="7" spans="1:42" x14ac:dyDescent="0.25">
      <c r="A7" s="72" t="s">
        <v>33</v>
      </c>
      <c r="B7" s="114"/>
      <c r="C7" s="73"/>
      <c r="D7" s="3">
        <v>172</v>
      </c>
      <c r="E7" s="3">
        <v>123</v>
      </c>
      <c r="F7" s="3">
        <v>229</v>
      </c>
      <c r="G7" s="3">
        <v>77</v>
      </c>
      <c r="H7" s="3" t="s">
        <v>9</v>
      </c>
      <c r="I7" s="3" t="s">
        <v>9</v>
      </c>
      <c r="J7" s="3">
        <v>100</v>
      </c>
      <c r="K7" s="3">
        <v>47</v>
      </c>
      <c r="L7" s="3">
        <v>67</v>
      </c>
      <c r="M7" s="3">
        <v>62</v>
      </c>
      <c r="N7" s="3" t="s">
        <v>9</v>
      </c>
      <c r="O7" s="3">
        <v>46</v>
      </c>
      <c r="P7" s="3">
        <v>99</v>
      </c>
      <c r="Q7" s="3">
        <v>71</v>
      </c>
      <c r="R7" s="3">
        <v>25</v>
      </c>
      <c r="S7" s="3" t="s">
        <v>9</v>
      </c>
      <c r="T7" s="3">
        <v>46</v>
      </c>
      <c r="U7" s="3">
        <v>23</v>
      </c>
      <c r="V7" s="3" t="s">
        <v>9</v>
      </c>
      <c r="W7" s="3" t="s">
        <v>9</v>
      </c>
      <c r="X7" s="3">
        <v>151</v>
      </c>
      <c r="Y7" s="3">
        <v>85</v>
      </c>
      <c r="Z7" s="3">
        <v>265</v>
      </c>
      <c r="AA7" s="3">
        <v>138</v>
      </c>
      <c r="AB7" s="3">
        <v>118</v>
      </c>
      <c r="AC7" s="3">
        <v>91</v>
      </c>
      <c r="AD7" s="3" t="s">
        <v>9</v>
      </c>
      <c r="AE7" s="3">
        <v>268</v>
      </c>
      <c r="AF7" s="3">
        <v>148</v>
      </c>
      <c r="AG7" s="3">
        <v>155</v>
      </c>
      <c r="AH7" s="3">
        <v>142</v>
      </c>
      <c r="AI7" s="74">
        <f>SUM(D7:AH7)</f>
        <v>2748</v>
      </c>
      <c r="AJ7" s="75"/>
    </row>
    <row r="8" spans="1:42" x14ac:dyDescent="0.25">
      <c r="A8" s="72" t="s">
        <v>35</v>
      </c>
      <c r="B8" s="114"/>
      <c r="C8" s="73"/>
      <c r="D8" s="3">
        <v>158</v>
      </c>
      <c r="E8" s="3">
        <v>80</v>
      </c>
      <c r="F8" s="3">
        <v>129</v>
      </c>
      <c r="G8" s="3">
        <v>112</v>
      </c>
      <c r="H8" s="3" t="s">
        <v>9</v>
      </c>
      <c r="I8" s="3" t="s">
        <v>9</v>
      </c>
      <c r="J8" s="3">
        <v>139</v>
      </c>
      <c r="K8" s="3">
        <v>38</v>
      </c>
      <c r="L8" s="3">
        <v>69</v>
      </c>
      <c r="M8" s="3">
        <v>54</v>
      </c>
      <c r="N8" s="3">
        <v>56</v>
      </c>
      <c r="O8" s="17" t="s">
        <v>9</v>
      </c>
      <c r="P8" s="17" t="s">
        <v>9</v>
      </c>
      <c r="Q8" s="3">
        <v>76</v>
      </c>
      <c r="R8" s="3">
        <v>55</v>
      </c>
      <c r="S8" s="3">
        <v>27</v>
      </c>
      <c r="T8" s="3" t="s">
        <v>30</v>
      </c>
      <c r="U8" s="3">
        <v>19</v>
      </c>
      <c r="V8" s="17" t="s">
        <v>9</v>
      </c>
      <c r="W8" s="3" t="s">
        <v>9</v>
      </c>
      <c r="X8" s="3">
        <v>101</v>
      </c>
      <c r="Y8" s="3">
        <v>75</v>
      </c>
      <c r="Z8" s="3">
        <v>166</v>
      </c>
      <c r="AA8" s="3">
        <v>121</v>
      </c>
      <c r="AB8" s="3">
        <v>164</v>
      </c>
      <c r="AC8" s="3" t="s">
        <v>9</v>
      </c>
      <c r="AD8" s="3" t="s">
        <v>9</v>
      </c>
      <c r="AE8" s="3">
        <v>202</v>
      </c>
      <c r="AF8" s="3">
        <v>189</v>
      </c>
      <c r="AG8" s="3">
        <v>132</v>
      </c>
      <c r="AH8" s="17">
        <v>124</v>
      </c>
      <c r="AI8" s="74">
        <f>SUM(D8:AH8)</f>
        <v>2286</v>
      </c>
      <c r="AJ8" s="75"/>
    </row>
    <row r="9" spans="1:42" x14ac:dyDescent="0.25">
      <c r="A9" s="72" t="s">
        <v>36</v>
      </c>
      <c r="B9" s="114"/>
      <c r="C9" s="73"/>
      <c r="D9" s="3">
        <v>172</v>
      </c>
      <c r="E9" s="3">
        <v>133</v>
      </c>
      <c r="F9" s="13">
        <v>43</v>
      </c>
      <c r="G9" s="3">
        <v>83</v>
      </c>
      <c r="H9" s="3">
        <v>14</v>
      </c>
      <c r="I9" s="13" t="s">
        <v>9</v>
      </c>
      <c r="J9" s="3" t="s">
        <v>30</v>
      </c>
      <c r="K9" s="3">
        <v>51</v>
      </c>
      <c r="L9" s="3">
        <v>22</v>
      </c>
      <c r="M9" s="3">
        <v>27</v>
      </c>
      <c r="N9" s="3">
        <v>15</v>
      </c>
      <c r="O9" s="17">
        <v>7</v>
      </c>
      <c r="P9" s="17" t="s">
        <v>9</v>
      </c>
      <c r="Q9" s="3">
        <v>18</v>
      </c>
      <c r="R9" s="3">
        <v>25</v>
      </c>
      <c r="S9" s="3">
        <v>16</v>
      </c>
      <c r="T9" s="13">
        <v>19</v>
      </c>
      <c r="U9" s="3">
        <v>10</v>
      </c>
      <c r="V9" s="17">
        <v>1</v>
      </c>
      <c r="W9" s="17" t="s">
        <v>9</v>
      </c>
      <c r="X9" s="3">
        <v>72</v>
      </c>
      <c r="Y9" s="3">
        <v>139</v>
      </c>
      <c r="Z9" s="3">
        <v>144</v>
      </c>
      <c r="AA9" s="3">
        <v>64</v>
      </c>
      <c r="AB9" s="3">
        <v>127</v>
      </c>
      <c r="AC9" s="13">
        <v>83</v>
      </c>
      <c r="AD9" s="13" t="s">
        <v>9</v>
      </c>
      <c r="AE9" s="13">
        <v>86</v>
      </c>
      <c r="AF9" s="13">
        <v>124</v>
      </c>
      <c r="AG9" s="3">
        <v>95</v>
      </c>
      <c r="AH9" s="17">
        <v>33</v>
      </c>
      <c r="AI9" s="74">
        <f>SUM(D9:AH9)</f>
        <v>1623</v>
      </c>
      <c r="AJ9" s="75"/>
    </row>
    <row r="10" spans="1:42" x14ac:dyDescent="0.25">
      <c r="A10" s="72" t="s">
        <v>22</v>
      </c>
      <c r="B10" s="114"/>
      <c r="C10" s="73"/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9</v>
      </c>
      <c r="AI10" s="74">
        <f t="shared" si="0"/>
        <v>0</v>
      </c>
      <c r="AJ10" s="75"/>
    </row>
    <row r="11" spans="1:42" x14ac:dyDescent="0.25">
      <c r="A11" s="72" t="s">
        <v>39</v>
      </c>
      <c r="B11" s="114"/>
      <c r="C11" s="73"/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1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17" t="s">
        <v>30</v>
      </c>
      <c r="P11" s="17" t="s">
        <v>30</v>
      </c>
      <c r="Q11" s="1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30</v>
      </c>
      <c r="AE11" s="3" t="s">
        <v>30</v>
      </c>
      <c r="AF11" s="3" t="s">
        <v>30</v>
      </c>
      <c r="AG11" s="3" t="s">
        <v>30</v>
      </c>
      <c r="AH11" s="3" t="s">
        <v>30</v>
      </c>
      <c r="AI11" s="74">
        <f t="shared" si="0"/>
        <v>0</v>
      </c>
      <c r="AJ11" s="75"/>
    </row>
    <row r="12" spans="1:42" ht="13.5" thickBot="1" x14ac:dyDescent="0.3">
      <c r="A12" s="92" t="s">
        <v>1</v>
      </c>
      <c r="B12" s="115"/>
      <c r="C12" s="93"/>
      <c r="D12" s="10">
        <f>SUM(D4:D11)</f>
        <v>1400</v>
      </c>
      <c r="E12" s="10">
        <f>SUM(E4:E11)</f>
        <v>909</v>
      </c>
      <c r="F12" s="10">
        <f>SUM(F4:F11)</f>
        <v>953</v>
      </c>
      <c r="G12" s="10">
        <f>SUM(G4:G11)</f>
        <v>625</v>
      </c>
      <c r="H12" s="10">
        <f>SUM(H4:H11)</f>
        <v>451</v>
      </c>
      <c r="I12" s="10" t="s">
        <v>29</v>
      </c>
      <c r="J12" s="10">
        <f t="shared" ref="J12:AH12" si="1">SUM(J4:J11)</f>
        <v>598</v>
      </c>
      <c r="K12" s="10">
        <f t="shared" si="1"/>
        <v>239</v>
      </c>
      <c r="L12" s="10">
        <f t="shared" si="1"/>
        <v>432</v>
      </c>
      <c r="M12" s="10">
        <f t="shared" si="1"/>
        <v>493</v>
      </c>
      <c r="N12" s="10">
        <f t="shared" si="1"/>
        <v>320</v>
      </c>
      <c r="O12" s="10">
        <f t="shared" si="1"/>
        <v>143</v>
      </c>
      <c r="P12" s="10">
        <f t="shared" si="1"/>
        <v>99</v>
      </c>
      <c r="Q12" s="10">
        <f t="shared" si="1"/>
        <v>432</v>
      </c>
      <c r="R12" s="10">
        <f t="shared" si="1"/>
        <v>371</v>
      </c>
      <c r="S12" s="10">
        <f t="shared" si="1"/>
        <v>147</v>
      </c>
      <c r="T12" s="10">
        <f t="shared" si="1"/>
        <v>156</v>
      </c>
      <c r="U12" s="10">
        <f t="shared" si="1"/>
        <v>80</v>
      </c>
      <c r="V12" s="10">
        <f t="shared" si="1"/>
        <v>132</v>
      </c>
      <c r="W12" s="10">
        <f t="shared" si="1"/>
        <v>43</v>
      </c>
      <c r="X12" s="10">
        <f t="shared" si="1"/>
        <v>797</v>
      </c>
      <c r="Y12" s="10">
        <f t="shared" si="1"/>
        <v>732</v>
      </c>
      <c r="Z12" s="10">
        <f t="shared" si="1"/>
        <v>1093</v>
      </c>
      <c r="AA12" s="10">
        <f t="shared" si="1"/>
        <v>1069</v>
      </c>
      <c r="AB12" s="10">
        <f t="shared" si="1"/>
        <v>860</v>
      </c>
      <c r="AC12" s="10">
        <f t="shared" si="1"/>
        <v>268</v>
      </c>
      <c r="AD12" s="10">
        <f t="shared" si="1"/>
        <v>13</v>
      </c>
      <c r="AE12" s="10">
        <f t="shared" si="1"/>
        <v>1048</v>
      </c>
      <c r="AF12" s="10">
        <f t="shared" si="1"/>
        <v>1219</v>
      </c>
      <c r="AG12" s="10">
        <f t="shared" si="1"/>
        <v>1083</v>
      </c>
      <c r="AH12" s="10">
        <f t="shared" si="1"/>
        <v>806</v>
      </c>
      <c r="AI12" s="116">
        <f>SUM(D12:AH12)</f>
        <v>17011</v>
      </c>
      <c r="AJ12" s="117"/>
      <c r="AK12" s="4"/>
    </row>
    <row r="13" spans="1:42" ht="13.5" thickBot="1" x14ac:dyDescent="0.3"/>
    <row r="14" spans="1:42" ht="22.5" customHeight="1" thickBot="1" x14ac:dyDescent="0.3">
      <c r="A14" s="96" t="s">
        <v>66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</row>
    <row r="15" spans="1:42" ht="57" customHeight="1" thickBot="1" x14ac:dyDescent="0.3">
      <c r="A15" s="97" t="s">
        <v>0</v>
      </c>
      <c r="B15" s="132" t="s">
        <v>17</v>
      </c>
      <c r="C15" s="133"/>
      <c r="D15" s="11">
        <v>45839</v>
      </c>
      <c r="E15" s="11">
        <v>45840</v>
      </c>
      <c r="F15" s="11">
        <v>45841</v>
      </c>
      <c r="G15" s="11">
        <v>45842</v>
      </c>
      <c r="H15" s="11">
        <v>45843</v>
      </c>
      <c r="I15" s="11">
        <v>45844</v>
      </c>
      <c r="J15" s="11">
        <v>45845</v>
      </c>
      <c r="K15" s="11">
        <v>45846</v>
      </c>
      <c r="L15" s="11">
        <v>45847</v>
      </c>
      <c r="M15" s="11">
        <v>45848</v>
      </c>
      <c r="N15" s="11">
        <v>45849</v>
      </c>
      <c r="O15" s="11">
        <v>45850</v>
      </c>
      <c r="P15" s="11">
        <v>45851</v>
      </c>
      <c r="Q15" s="11">
        <v>45852</v>
      </c>
      <c r="R15" s="11">
        <v>45853</v>
      </c>
      <c r="S15" s="11">
        <v>45854</v>
      </c>
      <c r="T15" s="11">
        <v>45855</v>
      </c>
      <c r="U15" s="11">
        <v>45856</v>
      </c>
      <c r="V15" s="11">
        <v>45857</v>
      </c>
      <c r="W15" s="11">
        <v>45858</v>
      </c>
      <c r="X15" s="11">
        <v>45859</v>
      </c>
      <c r="Y15" s="11">
        <v>45860</v>
      </c>
      <c r="Z15" s="11">
        <v>45861</v>
      </c>
      <c r="AA15" s="11">
        <v>45862</v>
      </c>
      <c r="AB15" s="11">
        <v>45863</v>
      </c>
      <c r="AC15" s="11">
        <v>45864</v>
      </c>
      <c r="AD15" s="11">
        <v>45865</v>
      </c>
      <c r="AE15" s="11">
        <v>45866</v>
      </c>
      <c r="AF15" s="11">
        <v>45867</v>
      </c>
      <c r="AG15" s="11">
        <v>45868</v>
      </c>
      <c r="AH15" s="11">
        <v>45869</v>
      </c>
      <c r="AI15" s="101" t="s">
        <v>28</v>
      </c>
      <c r="AJ15" s="103" t="s">
        <v>27</v>
      </c>
    </row>
    <row r="16" spans="1:42" ht="70.5" customHeight="1" thickBot="1" x14ac:dyDescent="0.3">
      <c r="A16" s="98"/>
      <c r="B16" s="146"/>
      <c r="C16" s="147"/>
      <c r="D16" s="12" t="s">
        <v>4</v>
      </c>
      <c r="E16" s="12" t="s">
        <v>5</v>
      </c>
      <c r="F16" s="12" t="s">
        <v>6</v>
      </c>
      <c r="G16" s="12" t="s">
        <v>7</v>
      </c>
      <c r="H16" s="12" t="s">
        <v>8</v>
      </c>
      <c r="I16" s="12" t="s">
        <v>2</v>
      </c>
      <c r="J16" s="12" t="s">
        <v>3</v>
      </c>
      <c r="K16" s="12" t="s">
        <v>4</v>
      </c>
      <c r="L16" s="12" t="s">
        <v>5</v>
      </c>
      <c r="M16" s="12" t="s">
        <v>6</v>
      </c>
      <c r="N16" s="12" t="s">
        <v>7</v>
      </c>
      <c r="O16" s="12" t="s">
        <v>8</v>
      </c>
      <c r="P16" s="12" t="s">
        <v>2</v>
      </c>
      <c r="Q16" s="12" t="s">
        <v>3</v>
      </c>
      <c r="R16" s="12" t="s">
        <v>4</v>
      </c>
      <c r="S16" s="12" t="s">
        <v>5</v>
      </c>
      <c r="T16" s="12" t="s">
        <v>6</v>
      </c>
      <c r="U16" s="12" t="s">
        <v>7</v>
      </c>
      <c r="V16" s="12" t="s">
        <v>8</v>
      </c>
      <c r="W16" s="12" t="s">
        <v>2</v>
      </c>
      <c r="X16" s="12" t="s">
        <v>3</v>
      </c>
      <c r="Y16" s="12" t="s">
        <v>4</v>
      </c>
      <c r="Z16" s="12" t="s">
        <v>5</v>
      </c>
      <c r="AA16" s="12" t="s">
        <v>6</v>
      </c>
      <c r="AB16" s="12" t="s">
        <v>7</v>
      </c>
      <c r="AC16" s="12" t="s">
        <v>8</v>
      </c>
      <c r="AD16" s="12" t="s">
        <v>2</v>
      </c>
      <c r="AE16" s="12" t="s">
        <v>3</v>
      </c>
      <c r="AF16" s="12" t="s">
        <v>4</v>
      </c>
      <c r="AG16" s="12" t="s">
        <v>5</v>
      </c>
      <c r="AH16" s="12" t="s">
        <v>6</v>
      </c>
      <c r="AI16" s="102"/>
      <c r="AJ16" s="104"/>
    </row>
    <row r="17" spans="1:36" x14ac:dyDescent="0.25">
      <c r="A17" s="106" t="s">
        <v>35</v>
      </c>
      <c r="B17" s="124" t="s">
        <v>18</v>
      </c>
      <c r="C17" s="29" t="s">
        <v>48</v>
      </c>
      <c r="D17" s="7">
        <v>39</v>
      </c>
      <c r="E17" s="7">
        <v>36</v>
      </c>
      <c r="F17" s="7">
        <v>14</v>
      </c>
      <c r="G17" s="7">
        <v>5</v>
      </c>
      <c r="H17" s="7" t="s">
        <v>9</v>
      </c>
      <c r="I17" s="7" t="s">
        <v>9</v>
      </c>
      <c r="J17" s="7">
        <v>7</v>
      </c>
      <c r="K17" s="7">
        <v>27</v>
      </c>
      <c r="L17" s="7">
        <v>4</v>
      </c>
      <c r="M17" s="7">
        <v>3</v>
      </c>
      <c r="N17" s="7">
        <v>17</v>
      </c>
      <c r="O17" s="7" t="s">
        <v>9</v>
      </c>
      <c r="P17" s="20" t="s">
        <v>9</v>
      </c>
      <c r="Q17" s="20">
        <v>0</v>
      </c>
      <c r="R17" s="7">
        <v>3</v>
      </c>
      <c r="S17" s="7">
        <v>8</v>
      </c>
      <c r="T17" s="7" t="s">
        <v>30</v>
      </c>
      <c r="U17" s="7">
        <v>1</v>
      </c>
      <c r="V17" s="7" t="s">
        <v>9</v>
      </c>
      <c r="W17" s="7" t="s">
        <v>9</v>
      </c>
      <c r="X17" s="7">
        <v>7</v>
      </c>
      <c r="Y17" s="7">
        <v>15</v>
      </c>
      <c r="Z17" s="7">
        <v>25</v>
      </c>
      <c r="AA17" s="7">
        <v>6</v>
      </c>
      <c r="AB17" s="7">
        <v>33</v>
      </c>
      <c r="AC17" s="7" t="s">
        <v>9</v>
      </c>
      <c r="AD17" s="7" t="s">
        <v>9</v>
      </c>
      <c r="AE17" s="7">
        <v>41</v>
      </c>
      <c r="AF17" s="7">
        <v>7</v>
      </c>
      <c r="AG17" s="7">
        <v>49</v>
      </c>
      <c r="AH17" s="7">
        <v>48</v>
      </c>
      <c r="AI17" s="27">
        <f t="shared" ref="AI17:AI64" si="2">SUM(D17:AH17)</f>
        <v>395</v>
      </c>
      <c r="AJ17" s="85">
        <f>SUM(AI17:AI22)</f>
        <v>1052</v>
      </c>
    </row>
    <row r="18" spans="1:36" x14ac:dyDescent="0.25">
      <c r="A18" s="123"/>
      <c r="B18" s="125"/>
      <c r="C18" s="32" t="s">
        <v>50</v>
      </c>
      <c r="D18" s="14">
        <v>20</v>
      </c>
      <c r="E18" s="14">
        <v>11</v>
      </c>
      <c r="F18" s="14">
        <v>11</v>
      </c>
      <c r="G18" s="14">
        <v>13</v>
      </c>
      <c r="H18" s="14" t="s">
        <v>9</v>
      </c>
      <c r="I18" s="14" t="s">
        <v>9</v>
      </c>
      <c r="J18" s="14">
        <v>30</v>
      </c>
      <c r="K18" s="14">
        <v>15</v>
      </c>
      <c r="L18" s="14">
        <v>23</v>
      </c>
      <c r="M18" s="14">
        <v>9</v>
      </c>
      <c r="N18" s="14">
        <v>8</v>
      </c>
      <c r="O18" s="14" t="s">
        <v>9</v>
      </c>
      <c r="P18" s="22" t="s">
        <v>9</v>
      </c>
      <c r="Q18" s="22">
        <v>0</v>
      </c>
      <c r="R18" s="14">
        <v>10</v>
      </c>
      <c r="S18" s="14">
        <v>11</v>
      </c>
      <c r="T18" s="14" t="s">
        <v>30</v>
      </c>
      <c r="U18" s="14">
        <v>12</v>
      </c>
      <c r="V18" s="14" t="s">
        <v>9</v>
      </c>
      <c r="W18" s="14" t="s">
        <v>9</v>
      </c>
      <c r="X18" s="14">
        <v>11</v>
      </c>
      <c r="Y18" s="14">
        <v>11</v>
      </c>
      <c r="Z18" s="14">
        <v>10</v>
      </c>
      <c r="AA18" s="14">
        <v>10</v>
      </c>
      <c r="AB18" s="14">
        <v>8</v>
      </c>
      <c r="AC18" s="14" t="s">
        <v>9</v>
      </c>
      <c r="AD18" s="14" t="s">
        <v>9</v>
      </c>
      <c r="AE18" s="14">
        <v>14</v>
      </c>
      <c r="AF18" s="14">
        <v>14</v>
      </c>
      <c r="AG18" s="14">
        <v>18</v>
      </c>
      <c r="AH18" s="14">
        <v>12</v>
      </c>
      <c r="AI18" s="28">
        <f t="shared" si="2"/>
        <v>281</v>
      </c>
      <c r="AJ18" s="122"/>
    </row>
    <row r="19" spans="1:36" x14ac:dyDescent="0.25">
      <c r="A19" s="123"/>
      <c r="B19" s="125"/>
      <c r="C19" s="32" t="s">
        <v>49</v>
      </c>
      <c r="D19" s="14">
        <v>0</v>
      </c>
      <c r="E19" s="14">
        <v>0</v>
      </c>
      <c r="F19" s="14">
        <v>0</v>
      </c>
      <c r="G19" s="14">
        <v>0</v>
      </c>
      <c r="H19" s="14" t="s">
        <v>9</v>
      </c>
      <c r="I19" s="14" t="s">
        <v>9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 t="s">
        <v>9</v>
      </c>
      <c r="P19" s="22" t="s">
        <v>9</v>
      </c>
      <c r="Q19" s="22">
        <v>0</v>
      </c>
      <c r="R19" s="14">
        <v>0</v>
      </c>
      <c r="S19" s="14">
        <v>0</v>
      </c>
      <c r="T19" s="14" t="s">
        <v>30</v>
      </c>
      <c r="U19" s="14">
        <v>0</v>
      </c>
      <c r="V19" s="14" t="s">
        <v>9</v>
      </c>
      <c r="W19" s="14" t="s">
        <v>9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 t="s">
        <v>9</v>
      </c>
      <c r="AD19" s="14" t="s">
        <v>9</v>
      </c>
      <c r="AE19" s="14">
        <v>0</v>
      </c>
      <c r="AF19" s="14">
        <v>0</v>
      </c>
      <c r="AG19" s="14">
        <v>0</v>
      </c>
      <c r="AH19" s="14">
        <v>0</v>
      </c>
      <c r="AI19" s="28">
        <f t="shared" si="2"/>
        <v>0</v>
      </c>
      <c r="AJ19" s="122"/>
    </row>
    <row r="20" spans="1:36" x14ac:dyDescent="0.25">
      <c r="A20" s="123"/>
      <c r="B20" s="126"/>
      <c r="C20" s="32" t="s">
        <v>51</v>
      </c>
      <c r="D20" s="14">
        <v>1</v>
      </c>
      <c r="E20" s="14">
        <v>1</v>
      </c>
      <c r="F20" s="14">
        <v>7</v>
      </c>
      <c r="G20" s="14">
        <v>1</v>
      </c>
      <c r="H20" s="14" t="s">
        <v>9</v>
      </c>
      <c r="I20" s="14" t="s">
        <v>9</v>
      </c>
      <c r="J20" s="14">
        <v>5</v>
      </c>
      <c r="K20" s="14">
        <v>7</v>
      </c>
      <c r="L20" s="14">
        <v>1</v>
      </c>
      <c r="M20" s="14">
        <v>3</v>
      </c>
      <c r="N20" s="14">
        <v>1</v>
      </c>
      <c r="O20" s="14" t="s">
        <v>9</v>
      </c>
      <c r="P20" s="22" t="s">
        <v>9</v>
      </c>
      <c r="Q20" s="22">
        <v>0</v>
      </c>
      <c r="R20" s="14">
        <v>1</v>
      </c>
      <c r="S20" s="14">
        <v>3</v>
      </c>
      <c r="T20" s="14" t="s">
        <v>30</v>
      </c>
      <c r="U20" s="14">
        <v>1</v>
      </c>
      <c r="V20" s="14" t="s">
        <v>9</v>
      </c>
      <c r="W20" s="14" t="s">
        <v>9</v>
      </c>
      <c r="X20" s="14">
        <v>2</v>
      </c>
      <c r="Y20" s="14">
        <v>1</v>
      </c>
      <c r="Z20" s="14">
        <v>5</v>
      </c>
      <c r="AA20" s="14">
        <v>1</v>
      </c>
      <c r="AB20" s="14">
        <v>1</v>
      </c>
      <c r="AC20" s="14" t="s">
        <v>9</v>
      </c>
      <c r="AD20" s="14" t="s">
        <v>9</v>
      </c>
      <c r="AE20" s="14">
        <v>2</v>
      </c>
      <c r="AF20" s="14">
        <v>7</v>
      </c>
      <c r="AG20" s="14">
        <v>6</v>
      </c>
      <c r="AH20" s="14">
        <v>1</v>
      </c>
      <c r="AI20" s="28">
        <f t="shared" si="2"/>
        <v>58</v>
      </c>
      <c r="AJ20" s="122"/>
    </row>
    <row r="21" spans="1:36" x14ac:dyDescent="0.25">
      <c r="A21" s="72"/>
      <c r="B21" s="127" t="s">
        <v>45</v>
      </c>
      <c r="C21" s="30" t="s">
        <v>46</v>
      </c>
      <c r="D21" s="3">
        <v>28</v>
      </c>
      <c r="E21" s="3">
        <v>9</v>
      </c>
      <c r="F21" s="3">
        <v>11</v>
      </c>
      <c r="G21" s="3">
        <v>13</v>
      </c>
      <c r="H21" s="3" t="s">
        <v>9</v>
      </c>
      <c r="I21" s="3" t="s">
        <v>9</v>
      </c>
      <c r="J21" s="3">
        <v>11</v>
      </c>
      <c r="K21" s="3">
        <v>22</v>
      </c>
      <c r="L21" s="3">
        <v>10</v>
      </c>
      <c r="M21" s="3">
        <v>6</v>
      </c>
      <c r="N21" s="3">
        <v>4</v>
      </c>
      <c r="O21" s="3" t="s">
        <v>9</v>
      </c>
      <c r="P21" s="17" t="s">
        <v>9</v>
      </c>
      <c r="Q21" s="17">
        <v>14</v>
      </c>
      <c r="R21" s="3">
        <v>3</v>
      </c>
      <c r="S21" s="3">
        <v>12</v>
      </c>
      <c r="T21" s="3" t="s">
        <v>30</v>
      </c>
      <c r="U21" s="3">
        <v>2</v>
      </c>
      <c r="V21" s="3" t="s">
        <v>9</v>
      </c>
      <c r="W21" s="3" t="s">
        <v>9</v>
      </c>
      <c r="X21" s="3">
        <v>13</v>
      </c>
      <c r="Y21" s="3">
        <v>24</v>
      </c>
      <c r="Z21" s="3">
        <v>15</v>
      </c>
      <c r="AA21" s="3">
        <v>7</v>
      </c>
      <c r="AB21" s="3">
        <v>27</v>
      </c>
      <c r="AC21" s="3" t="s">
        <v>9</v>
      </c>
      <c r="AD21" s="3" t="s">
        <v>9</v>
      </c>
      <c r="AE21" s="3">
        <v>7</v>
      </c>
      <c r="AF21" s="3">
        <v>27</v>
      </c>
      <c r="AG21" s="3">
        <v>41</v>
      </c>
      <c r="AH21" s="3">
        <v>5</v>
      </c>
      <c r="AI21" s="28">
        <f t="shared" si="2"/>
        <v>311</v>
      </c>
      <c r="AJ21" s="86"/>
    </row>
    <row r="22" spans="1:36" ht="13.5" thickBot="1" x14ac:dyDescent="0.3">
      <c r="A22" s="107"/>
      <c r="B22" s="128"/>
      <c r="C22" s="31" t="s">
        <v>47</v>
      </c>
      <c r="D22" s="8">
        <v>0</v>
      </c>
      <c r="E22" s="8">
        <v>1</v>
      </c>
      <c r="F22" s="8">
        <v>1</v>
      </c>
      <c r="G22" s="8">
        <v>0</v>
      </c>
      <c r="H22" s="8" t="s">
        <v>9</v>
      </c>
      <c r="I22" s="8" t="s">
        <v>9</v>
      </c>
      <c r="J22" s="8">
        <v>0</v>
      </c>
      <c r="K22" s="8">
        <v>0</v>
      </c>
      <c r="L22" s="8">
        <v>0</v>
      </c>
      <c r="M22" s="8">
        <v>3</v>
      </c>
      <c r="N22" s="8">
        <v>0</v>
      </c>
      <c r="O22" s="3" t="s">
        <v>9</v>
      </c>
      <c r="P22" s="21" t="s">
        <v>9</v>
      </c>
      <c r="Q22" s="21">
        <v>1</v>
      </c>
      <c r="R22" s="8">
        <v>0</v>
      </c>
      <c r="S22" s="8">
        <v>0</v>
      </c>
      <c r="T22" s="8" t="s">
        <v>30</v>
      </c>
      <c r="U22" s="8">
        <v>0</v>
      </c>
      <c r="V22" s="3" t="s">
        <v>9</v>
      </c>
      <c r="W22" s="3" t="s">
        <v>9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3" t="s">
        <v>9</v>
      </c>
      <c r="AD22" s="3" t="s">
        <v>9</v>
      </c>
      <c r="AE22" s="8">
        <v>1</v>
      </c>
      <c r="AF22" s="8">
        <v>0</v>
      </c>
      <c r="AG22" s="8">
        <v>0</v>
      </c>
      <c r="AH22" s="8">
        <v>0</v>
      </c>
      <c r="AI22" s="26">
        <f t="shared" si="2"/>
        <v>7</v>
      </c>
      <c r="AJ22" s="87"/>
    </row>
    <row r="23" spans="1:36" x14ac:dyDescent="0.25">
      <c r="A23" s="89" t="s">
        <v>32</v>
      </c>
      <c r="B23" s="124" t="s">
        <v>18</v>
      </c>
      <c r="C23" s="29" t="s">
        <v>48</v>
      </c>
      <c r="D23" s="7">
        <v>46</v>
      </c>
      <c r="E23" s="7">
        <v>22</v>
      </c>
      <c r="F23" s="7">
        <v>16</v>
      </c>
      <c r="G23" s="7">
        <v>17</v>
      </c>
      <c r="H23" s="7">
        <v>6</v>
      </c>
      <c r="I23" s="7" t="s">
        <v>9</v>
      </c>
      <c r="J23" s="7">
        <v>36</v>
      </c>
      <c r="K23" s="7">
        <v>4</v>
      </c>
      <c r="L23" s="7">
        <v>4</v>
      </c>
      <c r="M23" s="7">
        <v>3</v>
      </c>
      <c r="N23" s="7">
        <v>27</v>
      </c>
      <c r="O23" s="7" t="s">
        <v>9</v>
      </c>
      <c r="P23" s="7" t="s">
        <v>9</v>
      </c>
      <c r="Q23" s="20">
        <v>2</v>
      </c>
      <c r="R23" s="7">
        <v>2</v>
      </c>
      <c r="S23" s="7" t="s">
        <v>30</v>
      </c>
      <c r="T23" s="7" t="s">
        <v>30</v>
      </c>
      <c r="U23" s="7" t="s">
        <v>30</v>
      </c>
      <c r="V23" s="7">
        <v>3</v>
      </c>
      <c r="W23" s="7" t="s">
        <v>9</v>
      </c>
      <c r="X23" s="7">
        <v>12</v>
      </c>
      <c r="Y23" s="7">
        <v>16</v>
      </c>
      <c r="Z23" s="7">
        <v>6</v>
      </c>
      <c r="AA23" s="14">
        <v>22</v>
      </c>
      <c r="AB23" s="7">
        <v>21</v>
      </c>
      <c r="AC23" s="7" t="s">
        <v>9</v>
      </c>
      <c r="AD23" s="7">
        <v>35</v>
      </c>
      <c r="AE23" s="7" t="s">
        <v>9</v>
      </c>
      <c r="AF23" s="7">
        <v>22</v>
      </c>
      <c r="AG23" s="7">
        <v>31</v>
      </c>
      <c r="AH23" s="14">
        <v>17</v>
      </c>
      <c r="AI23" s="27">
        <f t="shared" ref="AI23:AI28" si="3">SUM(D23:AH23)</f>
        <v>370</v>
      </c>
      <c r="AJ23" s="85">
        <f>SUM(AI23:AI28)</f>
        <v>869</v>
      </c>
    </row>
    <row r="24" spans="1:36" x14ac:dyDescent="0.25">
      <c r="A24" s="121"/>
      <c r="B24" s="125"/>
      <c r="C24" s="32" t="s">
        <v>50</v>
      </c>
      <c r="D24" s="14">
        <v>10</v>
      </c>
      <c r="E24" s="14">
        <v>9</v>
      </c>
      <c r="F24" s="14">
        <v>4</v>
      </c>
      <c r="G24" s="14">
        <v>10</v>
      </c>
      <c r="H24" s="14">
        <v>14</v>
      </c>
      <c r="I24" s="14" t="s">
        <v>9</v>
      </c>
      <c r="J24" s="14">
        <v>14</v>
      </c>
      <c r="K24" s="14">
        <v>15</v>
      </c>
      <c r="L24" s="14">
        <v>16</v>
      </c>
      <c r="M24" s="14">
        <v>8</v>
      </c>
      <c r="N24" s="14">
        <v>12</v>
      </c>
      <c r="O24" s="14" t="s">
        <v>9</v>
      </c>
      <c r="P24" s="14" t="s">
        <v>9</v>
      </c>
      <c r="Q24" s="22">
        <v>15</v>
      </c>
      <c r="R24" s="14">
        <v>10</v>
      </c>
      <c r="S24" s="14" t="s">
        <v>30</v>
      </c>
      <c r="T24" s="14" t="s">
        <v>30</v>
      </c>
      <c r="U24" s="14" t="s">
        <v>30</v>
      </c>
      <c r="V24" s="14">
        <v>12</v>
      </c>
      <c r="W24" s="14" t="s">
        <v>9</v>
      </c>
      <c r="X24" s="14">
        <v>17</v>
      </c>
      <c r="Y24" s="14">
        <v>9</v>
      </c>
      <c r="Z24" s="14">
        <v>11</v>
      </c>
      <c r="AA24" s="3">
        <v>14</v>
      </c>
      <c r="AB24" s="14">
        <v>11</v>
      </c>
      <c r="AC24" s="14" t="s">
        <v>9</v>
      </c>
      <c r="AD24" s="14">
        <v>13</v>
      </c>
      <c r="AE24" s="14" t="s">
        <v>9</v>
      </c>
      <c r="AF24" s="14">
        <v>16</v>
      </c>
      <c r="AG24" s="14">
        <v>10</v>
      </c>
      <c r="AH24" s="14">
        <v>8</v>
      </c>
      <c r="AI24" s="28">
        <f t="shared" si="3"/>
        <v>258</v>
      </c>
      <c r="AJ24" s="122"/>
    </row>
    <row r="25" spans="1:36" x14ac:dyDescent="0.25">
      <c r="A25" s="121"/>
      <c r="B25" s="125"/>
      <c r="C25" s="32" t="s">
        <v>49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 t="s">
        <v>9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 t="s">
        <v>9</v>
      </c>
      <c r="P25" s="14" t="s">
        <v>9</v>
      </c>
      <c r="Q25" s="22">
        <v>0</v>
      </c>
      <c r="R25" s="14">
        <v>0</v>
      </c>
      <c r="S25" s="14" t="s">
        <v>30</v>
      </c>
      <c r="T25" s="14" t="s">
        <v>30</v>
      </c>
      <c r="U25" s="14" t="s">
        <v>30</v>
      </c>
      <c r="V25" s="14">
        <v>0</v>
      </c>
      <c r="W25" s="14" t="s">
        <v>9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 t="s">
        <v>9</v>
      </c>
      <c r="AD25" s="14">
        <v>0</v>
      </c>
      <c r="AE25" s="14" t="s">
        <v>9</v>
      </c>
      <c r="AF25" s="14">
        <v>0</v>
      </c>
      <c r="AG25" s="14">
        <v>0</v>
      </c>
      <c r="AH25" s="14">
        <v>0</v>
      </c>
      <c r="AI25" s="28">
        <f t="shared" si="3"/>
        <v>0</v>
      </c>
      <c r="AJ25" s="122"/>
    </row>
    <row r="26" spans="1:36" x14ac:dyDescent="0.25">
      <c r="A26" s="121"/>
      <c r="B26" s="126"/>
      <c r="C26" s="32" t="s">
        <v>51</v>
      </c>
      <c r="D26" s="14">
        <v>1</v>
      </c>
      <c r="E26" s="14">
        <v>2</v>
      </c>
      <c r="F26" s="14">
        <v>2</v>
      </c>
      <c r="G26" s="14">
        <v>2</v>
      </c>
      <c r="H26" s="14">
        <v>2</v>
      </c>
      <c r="I26" s="14" t="s">
        <v>9</v>
      </c>
      <c r="J26" s="14">
        <v>5</v>
      </c>
      <c r="K26" s="14">
        <v>0</v>
      </c>
      <c r="L26" s="14">
        <v>3</v>
      </c>
      <c r="M26" s="14">
        <v>4</v>
      </c>
      <c r="N26" s="14">
        <v>8</v>
      </c>
      <c r="O26" s="14" t="s">
        <v>9</v>
      </c>
      <c r="P26" s="14" t="s">
        <v>9</v>
      </c>
      <c r="Q26" s="22">
        <v>0</v>
      </c>
      <c r="R26" s="14">
        <v>1</v>
      </c>
      <c r="S26" s="14" t="s">
        <v>30</v>
      </c>
      <c r="T26" s="14" t="s">
        <v>30</v>
      </c>
      <c r="U26" s="14" t="s">
        <v>30</v>
      </c>
      <c r="V26" s="14">
        <v>3</v>
      </c>
      <c r="W26" s="14" t="s">
        <v>9</v>
      </c>
      <c r="X26" s="14">
        <v>3</v>
      </c>
      <c r="Y26" s="14">
        <v>0</v>
      </c>
      <c r="Z26" s="14">
        <v>0</v>
      </c>
      <c r="AA26" s="14">
        <v>1</v>
      </c>
      <c r="AB26" s="14">
        <v>0</v>
      </c>
      <c r="AC26" s="14" t="s">
        <v>9</v>
      </c>
      <c r="AD26" s="14">
        <v>3</v>
      </c>
      <c r="AE26" s="14" t="s">
        <v>9</v>
      </c>
      <c r="AF26" s="14">
        <v>1</v>
      </c>
      <c r="AG26" s="14">
        <v>0</v>
      </c>
      <c r="AH26" s="14">
        <v>2</v>
      </c>
      <c r="AI26" s="28">
        <f t="shared" si="3"/>
        <v>43</v>
      </c>
      <c r="AJ26" s="122"/>
    </row>
    <row r="27" spans="1:36" x14ac:dyDescent="0.25">
      <c r="A27" s="90"/>
      <c r="B27" s="127" t="s">
        <v>45</v>
      </c>
      <c r="C27" s="30" t="s">
        <v>46</v>
      </c>
      <c r="D27" s="3">
        <v>13</v>
      </c>
      <c r="E27" s="3">
        <v>5</v>
      </c>
      <c r="F27" s="3">
        <v>5</v>
      </c>
      <c r="G27" s="3">
        <v>5</v>
      </c>
      <c r="H27" s="3">
        <v>2</v>
      </c>
      <c r="I27" s="3" t="s">
        <v>9</v>
      </c>
      <c r="J27" s="3">
        <v>16</v>
      </c>
      <c r="K27" s="3">
        <v>6</v>
      </c>
      <c r="L27" s="3">
        <v>9</v>
      </c>
      <c r="M27" s="3">
        <v>8</v>
      </c>
      <c r="N27" s="3">
        <v>16</v>
      </c>
      <c r="O27" s="3" t="s">
        <v>9</v>
      </c>
      <c r="P27" s="3" t="s">
        <v>9</v>
      </c>
      <c r="Q27" s="17">
        <v>7</v>
      </c>
      <c r="R27" s="3">
        <v>4</v>
      </c>
      <c r="S27" s="3" t="s">
        <v>30</v>
      </c>
      <c r="T27" s="3" t="s">
        <v>30</v>
      </c>
      <c r="U27" s="3" t="s">
        <v>30</v>
      </c>
      <c r="V27" s="3">
        <v>8</v>
      </c>
      <c r="W27" s="3" t="s">
        <v>9</v>
      </c>
      <c r="X27" s="3">
        <v>6</v>
      </c>
      <c r="Y27" s="3">
        <v>6</v>
      </c>
      <c r="Z27" s="3">
        <v>5</v>
      </c>
      <c r="AA27" s="3">
        <v>17</v>
      </c>
      <c r="AB27" s="3">
        <v>9</v>
      </c>
      <c r="AC27" s="3" t="s">
        <v>9</v>
      </c>
      <c r="AD27" s="3">
        <v>12</v>
      </c>
      <c r="AE27" s="3" t="s">
        <v>9</v>
      </c>
      <c r="AF27" s="3">
        <v>3</v>
      </c>
      <c r="AG27" s="3">
        <v>23</v>
      </c>
      <c r="AH27" s="3">
        <v>7</v>
      </c>
      <c r="AI27" s="28">
        <f t="shared" si="3"/>
        <v>192</v>
      </c>
      <c r="AJ27" s="86"/>
    </row>
    <row r="28" spans="1:36" ht="13.5" thickBot="1" x14ac:dyDescent="0.3">
      <c r="A28" s="91"/>
      <c r="B28" s="128"/>
      <c r="C28" s="31" t="s">
        <v>47</v>
      </c>
      <c r="D28" s="8">
        <v>0</v>
      </c>
      <c r="E28" s="8">
        <v>0</v>
      </c>
      <c r="F28" s="8">
        <v>0</v>
      </c>
      <c r="G28" s="8">
        <v>0</v>
      </c>
      <c r="H28" s="8">
        <v>3</v>
      </c>
      <c r="I28" s="8" t="s">
        <v>9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 t="s">
        <v>9</v>
      </c>
      <c r="P28" s="8" t="s">
        <v>9</v>
      </c>
      <c r="Q28" s="21">
        <v>1</v>
      </c>
      <c r="R28" s="8">
        <v>0</v>
      </c>
      <c r="S28" s="8" t="s">
        <v>30</v>
      </c>
      <c r="T28" s="8" t="s">
        <v>30</v>
      </c>
      <c r="U28" s="8" t="s">
        <v>30</v>
      </c>
      <c r="V28" s="8">
        <v>0</v>
      </c>
      <c r="W28" s="3" t="s">
        <v>9</v>
      </c>
      <c r="X28" s="8">
        <v>0</v>
      </c>
      <c r="Y28" s="8">
        <v>0</v>
      </c>
      <c r="Z28" s="8">
        <v>2</v>
      </c>
      <c r="AA28" s="8">
        <v>0</v>
      </c>
      <c r="AB28" s="8">
        <v>0</v>
      </c>
      <c r="AC28" s="3" t="s">
        <v>9</v>
      </c>
      <c r="AD28" s="8">
        <v>0</v>
      </c>
      <c r="AE28" s="3" t="s">
        <v>9</v>
      </c>
      <c r="AF28" s="8">
        <v>0</v>
      </c>
      <c r="AG28" s="8">
        <v>0</v>
      </c>
      <c r="AH28" s="8">
        <v>0</v>
      </c>
      <c r="AI28" s="26">
        <f t="shared" si="3"/>
        <v>6</v>
      </c>
      <c r="AJ28" s="87"/>
    </row>
    <row r="29" spans="1:36" x14ac:dyDescent="0.25">
      <c r="A29" s="89" t="s">
        <v>34</v>
      </c>
      <c r="B29" s="124" t="s">
        <v>18</v>
      </c>
      <c r="C29" s="29" t="s">
        <v>48</v>
      </c>
      <c r="D29" s="7">
        <v>26</v>
      </c>
      <c r="E29" s="7">
        <v>5</v>
      </c>
      <c r="F29" s="7">
        <v>34</v>
      </c>
      <c r="G29" s="7">
        <v>14</v>
      </c>
      <c r="H29" s="7">
        <v>5</v>
      </c>
      <c r="I29" s="7" t="s">
        <v>9</v>
      </c>
      <c r="J29" s="7">
        <v>4</v>
      </c>
      <c r="K29" s="7">
        <v>25</v>
      </c>
      <c r="L29" s="7">
        <v>9</v>
      </c>
      <c r="M29" s="7">
        <v>1</v>
      </c>
      <c r="N29" s="7">
        <v>0</v>
      </c>
      <c r="O29" s="7" t="s">
        <v>9</v>
      </c>
      <c r="P29" s="7" t="s">
        <v>9</v>
      </c>
      <c r="Q29" s="20">
        <v>21</v>
      </c>
      <c r="R29" s="7">
        <v>4</v>
      </c>
      <c r="S29" s="7">
        <v>0</v>
      </c>
      <c r="T29" s="7">
        <v>8</v>
      </c>
      <c r="U29" s="7">
        <v>1</v>
      </c>
      <c r="V29" s="14">
        <v>1</v>
      </c>
      <c r="W29" s="7" t="s">
        <v>9</v>
      </c>
      <c r="X29" s="7">
        <v>4</v>
      </c>
      <c r="Y29" s="7">
        <v>13</v>
      </c>
      <c r="Z29" s="7">
        <v>22</v>
      </c>
      <c r="AA29" s="7">
        <v>16</v>
      </c>
      <c r="AB29" s="7">
        <v>21</v>
      </c>
      <c r="AC29" s="7" t="s">
        <v>9</v>
      </c>
      <c r="AD29" s="7" t="s">
        <v>9</v>
      </c>
      <c r="AE29" s="7">
        <v>40</v>
      </c>
      <c r="AF29" s="7">
        <v>17</v>
      </c>
      <c r="AG29" s="7">
        <v>15</v>
      </c>
      <c r="AH29" s="7">
        <v>29</v>
      </c>
      <c r="AI29" s="27">
        <f t="shared" ref="AI29:AI34" si="4">SUM(D29:AH29)</f>
        <v>335</v>
      </c>
      <c r="AJ29" s="85">
        <f>SUM(AI29:AI34)</f>
        <v>837</v>
      </c>
    </row>
    <row r="30" spans="1:36" x14ac:dyDescent="0.25">
      <c r="A30" s="121"/>
      <c r="B30" s="125"/>
      <c r="C30" s="32" t="s">
        <v>50</v>
      </c>
      <c r="D30" s="14">
        <v>8</v>
      </c>
      <c r="E30" s="14">
        <v>18</v>
      </c>
      <c r="F30" s="14">
        <v>5</v>
      </c>
      <c r="G30" s="14">
        <v>13</v>
      </c>
      <c r="H30" s="14">
        <v>9</v>
      </c>
      <c r="I30" s="14" t="s">
        <v>9</v>
      </c>
      <c r="J30" s="14">
        <v>21</v>
      </c>
      <c r="K30" s="14">
        <v>20</v>
      </c>
      <c r="L30" s="14">
        <v>13</v>
      </c>
      <c r="M30" s="14">
        <v>19</v>
      </c>
      <c r="N30" s="14">
        <v>7</v>
      </c>
      <c r="O30" s="14" t="s">
        <v>9</v>
      </c>
      <c r="P30" s="14" t="s">
        <v>9</v>
      </c>
      <c r="Q30" s="22">
        <v>15</v>
      </c>
      <c r="R30" s="14">
        <v>10</v>
      </c>
      <c r="S30" s="14">
        <v>10</v>
      </c>
      <c r="T30" s="14">
        <v>15</v>
      </c>
      <c r="U30" s="14">
        <v>13</v>
      </c>
      <c r="V30" s="2">
        <v>9</v>
      </c>
      <c r="W30" s="14" t="s">
        <v>9</v>
      </c>
      <c r="X30" s="14">
        <v>6</v>
      </c>
      <c r="Y30" s="14">
        <v>12</v>
      </c>
      <c r="Z30" s="14">
        <v>10</v>
      </c>
      <c r="AA30" s="14">
        <v>9</v>
      </c>
      <c r="AB30" s="14">
        <v>12</v>
      </c>
      <c r="AC30" s="14" t="s">
        <v>9</v>
      </c>
      <c r="AD30" s="14" t="s">
        <v>9</v>
      </c>
      <c r="AE30" s="14">
        <v>14</v>
      </c>
      <c r="AF30" s="14">
        <v>17</v>
      </c>
      <c r="AG30" s="14">
        <v>6</v>
      </c>
      <c r="AH30" s="14">
        <v>6</v>
      </c>
      <c r="AI30" s="28">
        <f t="shared" si="4"/>
        <v>297</v>
      </c>
      <c r="AJ30" s="122"/>
    </row>
    <row r="31" spans="1:36" x14ac:dyDescent="0.25">
      <c r="A31" s="121"/>
      <c r="B31" s="125"/>
      <c r="C31" s="32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 t="s">
        <v>9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 t="s">
        <v>9</v>
      </c>
      <c r="P31" s="14" t="s">
        <v>9</v>
      </c>
      <c r="Q31" s="22">
        <v>0</v>
      </c>
      <c r="R31" s="14">
        <v>0</v>
      </c>
      <c r="S31" s="14">
        <v>0</v>
      </c>
      <c r="T31" s="14">
        <v>0</v>
      </c>
      <c r="U31" s="14">
        <v>0</v>
      </c>
      <c r="V31" s="3">
        <v>0</v>
      </c>
      <c r="W31" s="14" t="s">
        <v>9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 t="s">
        <v>9</v>
      </c>
      <c r="AD31" s="14" t="s">
        <v>9</v>
      </c>
      <c r="AE31" s="14">
        <v>0</v>
      </c>
      <c r="AF31" s="14">
        <v>0</v>
      </c>
      <c r="AG31" s="14">
        <v>0</v>
      </c>
      <c r="AH31" s="14">
        <v>0</v>
      </c>
      <c r="AI31" s="28">
        <f t="shared" si="4"/>
        <v>0</v>
      </c>
      <c r="AJ31" s="122"/>
    </row>
    <row r="32" spans="1:36" x14ac:dyDescent="0.25">
      <c r="A32" s="121"/>
      <c r="B32" s="126"/>
      <c r="C32" s="32" t="s">
        <v>51</v>
      </c>
      <c r="D32" s="14">
        <v>6</v>
      </c>
      <c r="E32" s="14">
        <v>3</v>
      </c>
      <c r="F32" s="14">
        <v>0</v>
      </c>
      <c r="G32" s="14">
        <v>1</v>
      </c>
      <c r="H32" s="14">
        <v>1</v>
      </c>
      <c r="I32" s="14" t="s">
        <v>9</v>
      </c>
      <c r="J32" s="14">
        <v>1</v>
      </c>
      <c r="K32" s="14">
        <v>7</v>
      </c>
      <c r="L32" s="14">
        <v>2</v>
      </c>
      <c r="M32" s="14">
        <v>2</v>
      </c>
      <c r="N32" s="14">
        <v>3</v>
      </c>
      <c r="O32" s="14" t="s">
        <v>9</v>
      </c>
      <c r="P32" s="14" t="s">
        <v>9</v>
      </c>
      <c r="Q32" s="22">
        <v>1</v>
      </c>
      <c r="R32" s="14">
        <v>1</v>
      </c>
      <c r="S32" s="14">
        <v>0</v>
      </c>
      <c r="T32" s="14">
        <v>2</v>
      </c>
      <c r="U32" s="14">
        <v>0</v>
      </c>
      <c r="V32" s="14">
        <v>0</v>
      </c>
      <c r="W32" s="14" t="s">
        <v>9</v>
      </c>
      <c r="X32" s="14">
        <v>0</v>
      </c>
      <c r="Y32" s="14">
        <v>2</v>
      </c>
      <c r="Z32" s="14">
        <v>4</v>
      </c>
      <c r="AA32" s="14">
        <v>3</v>
      </c>
      <c r="AB32" s="14">
        <v>0</v>
      </c>
      <c r="AC32" s="14" t="s">
        <v>9</v>
      </c>
      <c r="AD32" s="14" t="s">
        <v>9</v>
      </c>
      <c r="AE32" s="14">
        <v>0</v>
      </c>
      <c r="AF32" s="14">
        <v>3</v>
      </c>
      <c r="AG32" s="14">
        <v>2</v>
      </c>
      <c r="AH32" s="14">
        <v>1</v>
      </c>
      <c r="AI32" s="28">
        <f t="shared" si="4"/>
        <v>45</v>
      </c>
      <c r="AJ32" s="122"/>
    </row>
    <row r="33" spans="1:36" x14ac:dyDescent="0.25">
      <c r="A33" s="90"/>
      <c r="B33" s="127" t="s">
        <v>45</v>
      </c>
      <c r="C33" s="30" t="s">
        <v>46</v>
      </c>
      <c r="D33" s="3">
        <v>13</v>
      </c>
      <c r="E33" s="3">
        <v>6</v>
      </c>
      <c r="F33" s="3">
        <v>2</v>
      </c>
      <c r="G33" s="3">
        <v>4</v>
      </c>
      <c r="H33" s="3">
        <v>6</v>
      </c>
      <c r="I33" s="3" t="s">
        <v>9</v>
      </c>
      <c r="J33" s="3">
        <v>3</v>
      </c>
      <c r="K33" s="3">
        <v>13</v>
      </c>
      <c r="L33" s="3">
        <v>7</v>
      </c>
      <c r="M33" s="3">
        <v>4</v>
      </c>
      <c r="N33" s="3">
        <v>5</v>
      </c>
      <c r="O33" s="3" t="s">
        <v>9</v>
      </c>
      <c r="P33" s="3" t="s">
        <v>9</v>
      </c>
      <c r="Q33" s="17">
        <v>2</v>
      </c>
      <c r="R33" s="3">
        <v>5</v>
      </c>
      <c r="S33" s="3">
        <v>1</v>
      </c>
      <c r="T33" s="3">
        <v>4</v>
      </c>
      <c r="U33" s="3">
        <v>4</v>
      </c>
      <c r="V33" s="3">
        <v>0</v>
      </c>
      <c r="W33" s="3" t="s">
        <v>9</v>
      </c>
      <c r="X33" s="3">
        <v>2</v>
      </c>
      <c r="Y33" s="3">
        <v>9</v>
      </c>
      <c r="Z33" s="3">
        <v>16</v>
      </c>
      <c r="AA33" s="3">
        <v>4</v>
      </c>
      <c r="AB33" s="3">
        <v>4</v>
      </c>
      <c r="AC33" s="3" t="s">
        <v>9</v>
      </c>
      <c r="AD33" s="3" t="s">
        <v>9</v>
      </c>
      <c r="AE33" s="3">
        <v>4</v>
      </c>
      <c r="AF33" s="3">
        <v>10</v>
      </c>
      <c r="AG33" s="3">
        <v>18</v>
      </c>
      <c r="AH33" s="3">
        <v>5</v>
      </c>
      <c r="AI33" s="28">
        <f t="shared" si="4"/>
        <v>151</v>
      </c>
      <c r="AJ33" s="86"/>
    </row>
    <row r="34" spans="1:36" ht="13.5" thickBot="1" x14ac:dyDescent="0.3">
      <c r="A34" s="91"/>
      <c r="B34" s="128"/>
      <c r="C34" s="31" t="s">
        <v>47</v>
      </c>
      <c r="D34" s="8">
        <v>0</v>
      </c>
      <c r="E34" s="8">
        <v>0</v>
      </c>
      <c r="F34" s="8">
        <v>0</v>
      </c>
      <c r="G34" s="8">
        <v>0</v>
      </c>
      <c r="H34" s="8">
        <v>2</v>
      </c>
      <c r="I34" s="8" t="s">
        <v>9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 t="s">
        <v>9</v>
      </c>
      <c r="P34" s="8" t="s">
        <v>9</v>
      </c>
      <c r="Q34" s="21">
        <v>0</v>
      </c>
      <c r="R34" s="8">
        <v>1</v>
      </c>
      <c r="S34" s="8">
        <v>1</v>
      </c>
      <c r="T34" s="8">
        <v>0</v>
      </c>
      <c r="U34" s="8">
        <v>0</v>
      </c>
      <c r="V34" s="8">
        <v>0</v>
      </c>
      <c r="W34" s="3" t="s">
        <v>9</v>
      </c>
      <c r="X34" s="8">
        <v>0</v>
      </c>
      <c r="Y34" s="8">
        <v>0</v>
      </c>
      <c r="Z34" s="8">
        <v>0</v>
      </c>
      <c r="AA34" s="8">
        <v>1</v>
      </c>
      <c r="AB34" s="8">
        <v>1</v>
      </c>
      <c r="AC34" s="3" t="s">
        <v>9</v>
      </c>
      <c r="AD34" s="3" t="s">
        <v>9</v>
      </c>
      <c r="AE34" s="8">
        <v>0</v>
      </c>
      <c r="AF34" s="8">
        <v>0</v>
      </c>
      <c r="AG34" s="8">
        <v>0</v>
      </c>
      <c r="AH34" s="8">
        <v>2</v>
      </c>
      <c r="AI34" s="26">
        <f t="shared" si="4"/>
        <v>9</v>
      </c>
      <c r="AJ34" s="87"/>
    </row>
    <row r="35" spans="1:36" x14ac:dyDescent="0.25">
      <c r="A35" s="124" t="s">
        <v>52</v>
      </c>
      <c r="B35" s="124" t="s">
        <v>18</v>
      </c>
      <c r="C35" s="29" t="s">
        <v>48</v>
      </c>
      <c r="D35" s="7">
        <v>25</v>
      </c>
      <c r="E35" s="7">
        <v>44</v>
      </c>
      <c r="F35" s="7">
        <v>25</v>
      </c>
      <c r="G35" s="7" t="s">
        <v>9</v>
      </c>
      <c r="H35" s="7" t="s">
        <v>9</v>
      </c>
      <c r="I35" s="7" t="s">
        <v>9</v>
      </c>
      <c r="J35" s="7">
        <v>1</v>
      </c>
      <c r="K35" s="7">
        <v>0</v>
      </c>
      <c r="L35" s="7">
        <v>7</v>
      </c>
      <c r="M35" s="7">
        <v>3</v>
      </c>
      <c r="N35" s="7">
        <v>3</v>
      </c>
      <c r="O35" s="7">
        <v>7</v>
      </c>
      <c r="P35" s="7" t="s">
        <v>9</v>
      </c>
      <c r="Q35" s="7">
        <v>16</v>
      </c>
      <c r="R35" s="7">
        <v>4</v>
      </c>
      <c r="S35" s="7">
        <v>5</v>
      </c>
      <c r="T35" s="7">
        <v>7</v>
      </c>
      <c r="U35" s="7">
        <v>1</v>
      </c>
      <c r="V35" s="7" t="s">
        <v>9</v>
      </c>
      <c r="W35" s="7">
        <v>6</v>
      </c>
      <c r="X35" s="7">
        <v>5</v>
      </c>
      <c r="Y35" s="7">
        <v>14</v>
      </c>
      <c r="Z35" s="7">
        <v>16</v>
      </c>
      <c r="AA35" s="7">
        <v>20</v>
      </c>
      <c r="AB35" s="7" t="s">
        <v>9</v>
      </c>
      <c r="AC35" s="7">
        <v>15</v>
      </c>
      <c r="AD35" s="7" t="s">
        <v>9</v>
      </c>
      <c r="AE35" s="7">
        <v>39</v>
      </c>
      <c r="AF35" s="7">
        <v>13</v>
      </c>
      <c r="AG35" s="7">
        <v>42</v>
      </c>
      <c r="AH35" s="7">
        <v>13</v>
      </c>
      <c r="AI35" s="27">
        <f t="shared" ref="AI35:AI40" si="5">SUM(D35:AH35)</f>
        <v>331</v>
      </c>
      <c r="AJ35" s="85">
        <f>SUM(AI35:AI40)</f>
        <v>721</v>
      </c>
    </row>
    <row r="36" spans="1:36" ht="15" customHeight="1" x14ac:dyDescent="0.25">
      <c r="A36" s="125"/>
      <c r="B36" s="125"/>
      <c r="C36" s="32" t="s">
        <v>50</v>
      </c>
      <c r="D36" s="14">
        <v>5</v>
      </c>
      <c r="E36" s="14">
        <v>6</v>
      </c>
      <c r="F36" s="14">
        <v>4</v>
      </c>
      <c r="G36" s="14" t="s">
        <v>9</v>
      </c>
      <c r="H36" s="14" t="s">
        <v>9</v>
      </c>
      <c r="I36" s="14" t="s">
        <v>9</v>
      </c>
      <c r="J36" s="14">
        <v>7</v>
      </c>
      <c r="K36" s="14">
        <v>6</v>
      </c>
      <c r="L36" s="14">
        <v>6</v>
      </c>
      <c r="M36" s="14">
        <v>2</v>
      </c>
      <c r="N36" s="14">
        <v>3</v>
      </c>
      <c r="O36" s="14">
        <v>6</v>
      </c>
      <c r="P36" s="14" t="s">
        <v>9</v>
      </c>
      <c r="Q36" s="14">
        <v>6</v>
      </c>
      <c r="R36" s="14">
        <v>7</v>
      </c>
      <c r="S36" s="14">
        <v>2</v>
      </c>
      <c r="T36" s="14">
        <v>10</v>
      </c>
      <c r="U36" s="14">
        <v>8</v>
      </c>
      <c r="V36" s="14" t="s">
        <v>9</v>
      </c>
      <c r="W36" s="14">
        <v>12</v>
      </c>
      <c r="X36" s="14">
        <v>5</v>
      </c>
      <c r="Y36" s="14">
        <v>7</v>
      </c>
      <c r="Z36" s="14">
        <v>8</v>
      </c>
      <c r="AA36" s="14">
        <v>4</v>
      </c>
      <c r="AB36" s="14" t="s">
        <v>9</v>
      </c>
      <c r="AC36" s="14">
        <v>8</v>
      </c>
      <c r="AD36" s="14" t="s">
        <v>9</v>
      </c>
      <c r="AE36" s="14">
        <v>7</v>
      </c>
      <c r="AF36" s="14">
        <v>1</v>
      </c>
      <c r="AG36" s="14">
        <v>6</v>
      </c>
      <c r="AH36" s="14">
        <v>7</v>
      </c>
      <c r="AI36" s="28">
        <f t="shared" si="5"/>
        <v>143</v>
      </c>
      <c r="AJ36" s="122"/>
    </row>
    <row r="37" spans="1:36" ht="15" customHeight="1" x14ac:dyDescent="0.25">
      <c r="A37" s="125"/>
      <c r="B37" s="125"/>
      <c r="C37" s="32" t="s">
        <v>49</v>
      </c>
      <c r="D37" s="14">
        <v>0</v>
      </c>
      <c r="E37" s="14">
        <v>0</v>
      </c>
      <c r="F37" s="14">
        <v>0</v>
      </c>
      <c r="G37" s="14" t="s">
        <v>9</v>
      </c>
      <c r="H37" s="14" t="s">
        <v>9</v>
      </c>
      <c r="I37" s="14" t="s">
        <v>9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 t="s">
        <v>9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 t="s">
        <v>9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 t="s">
        <v>9</v>
      </c>
      <c r="AC37" s="14">
        <v>0</v>
      </c>
      <c r="AD37" s="14" t="s">
        <v>9</v>
      </c>
      <c r="AE37" s="14">
        <v>0</v>
      </c>
      <c r="AF37" s="14">
        <v>0</v>
      </c>
      <c r="AG37" s="14">
        <v>0</v>
      </c>
      <c r="AH37" s="14">
        <v>0</v>
      </c>
      <c r="AI37" s="28">
        <f t="shared" si="5"/>
        <v>0</v>
      </c>
      <c r="AJ37" s="122"/>
    </row>
    <row r="38" spans="1:36" ht="15" customHeight="1" x14ac:dyDescent="0.25">
      <c r="A38" s="125"/>
      <c r="B38" s="126"/>
      <c r="C38" s="32" t="s">
        <v>51</v>
      </c>
      <c r="D38" s="14">
        <v>0</v>
      </c>
      <c r="E38" s="14">
        <v>2</v>
      </c>
      <c r="F38" s="14">
        <v>1</v>
      </c>
      <c r="G38" s="14" t="s">
        <v>9</v>
      </c>
      <c r="H38" s="14" t="s">
        <v>9</v>
      </c>
      <c r="I38" s="14" t="s">
        <v>9</v>
      </c>
      <c r="J38" s="14">
        <v>2</v>
      </c>
      <c r="K38" s="14">
        <v>3</v>
      </c>
      <c r="L38" s="14">
        <v>4</v>
      </c>
      <c r="M38" s="14">
        <v>1</v>
      </c>
      <c r="N38" s="14">
        <v>2</v>
      </c>
      <c r="O38" s="14">
        <v>4</v>
      </c>
      <c r="P38" s="14" t="s">
        <v>9</v>
      </c>
      <c r="Q38" s="14">
        <v>0</v>
      </c>
      <c r="R38" s="14">
        <v>5</v>
      </c>
      <c r="S38" s="14">
        <v>3</v>
      </c>
      <c r="T38" s="14">
        <v>0</v>
      </c>
      <c r="U38" s="14">
        <v>5</v>
      </c>
      <c r="V38" s="14" t="s">
        <v>9</v>
      </c>
      <c r="W38" s="14">
        <v>2</v>
      </c>
      <c r="X38" s="14">
        <v>0</v>
      </c>
      <c r="Y38" s="14">
        <v>3</v>
      </c>
      <c r="Z38" s="14">
        <v>2</v>
      </c>
      <c r="AA38" s="14">
        <v>5</v>
      </c>
      <c r="AB38" s="14" t="s">
        <v>9</v>
      </c>
      <c r="AC38" s="14">
        <v>2</v>
      </c>
      <c r="AD38" s="14" t="s">
        <v>9</v>
      </c>
      <c r="AE38" s="14">
        <v>2</v>
      </c>
      <c r="AF38" s="14">
        <v>1</v>
      </c>
      <c r="AG38" s="14">
        <v>1</v>
      </c>
      <c r="AH38" s="14">
        <v>2</v>
      </c>
      <c r="AI38" s="28">
        <f t="shared" si="5"/>
        <v>52</v>
      </c>
      <c r="AJ38" s="122"/>
    </row>
    <row r="39" spans="1:36" x14ac:dyDescent="0.25">
      <c r="A39" s="125"/>
      <c r="B39" s="127" t="s">
        <v>45</v>
      </c>
      <c r="C39" s="30" t="s">
        <v>46</v>
      </c>
      <c r="D39" s="3">
        <v>15</v>
      </c>
      <c r="E39" s="3">
        <v>4</v>
      </c>
      <c r="F39" s="3">
        <v>4</v>
      </c>
      <c r="G39" s="3" t="s">
        <v>9</v>
      </c>
      <c r="H39" s="3" t="s">
        <v>9</v>
      </c>
      <c r="I39" s="3" t="s">
        <v>9</v>
      </c>
      <c r="J39" s="3">
        <v>12</v>
      </c>
      <c r="K39" s="3">
        <v>9</v>
      </c>
      <c r="L39" s="3">
        <v>9</v>
      </c>
      <c r="M39" s="3">
        <v>5</v>
      </c>
      <c r="N39" s="3">
        <v>5</v>
      </c>
      <c r="O39" s="3">
        <v>13</v>
      </c>
      <c r="P39" s="3" t="s">
        <v>9</v>
      </c>
      <c r="Q39" s="3">
        <v>6</v>
      </c>
      <c r="R39" s="3">
        <v>7</v>
      </c>
      <c r="S39" s="3">
        <v>7</v>
      </c>
      <c r="T39" s="3">
        <v>6</v>
      </c>
      <c r="U39" s="3">
        <v>6</v>
      </c>
      <c r="V39" s="3" t="s">
        <v>9</v>
      </c>
      <c r="W39" s="3">
        <v>10</v>
      </c>
      <c r="X39" s="3">
        <v>1</v>
      </c>
      <c r="Y39" s="3">
        <v>6</v>
      </c>
      <c r="Z39" s="3">
        <v>7</v>
      </c>
      <c r="AA39" s="3">
        <v>3</v>
      </c>
      <c r="AB39" s="3" t="s">
        <v>9</v>
      </c>
      <c r="AC39" s="3">
        <v>9</v>
      </c>
      <c r="AD39" s="3" t="s">
        <v>9</v>
      </c>
      <c r="AE39" s="3">
        <v>4</v>
      </c>
      <c r="AF39" s="3">
        <v>7</v>
      </c>
      <c r="AG39" s="3">
        <v>21</v>
      </c>
      <c r="AH39" s="3">
        <v>6</v>
      </c>
      <c r="AI39" s="28">
        <f t="shared" si="5"/>
        <v>182</v>
      </c>
      <c r="AJ39" s="86"/>
    </row>
    <row r="40" spans="1:36" ht="15.75" customHeight="1" thickBot="1" x14ac:dyDescent="0.3">
      <c r="A40" s="128"/>
      <c r="B40" s="128"/>
      <c r="C40" s="31" t="s">
        <v>47</v>
      </c>
      <c r="D40" s="8">
        <v>0</v>
      </c>
      <c r="E40" s="8">
        <v>0</v>
      </c>
      <c r="F40" s="8">
        <v>0</v>
      </c>
      <c r="G40" s="8" t="s">
        <v>9</v>
      </c>
      <c r="H40" s="8" t="s">
        <v>9</v>
      </c>
      <c r="I40" s="8" t="s">
        <v>9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3</v>
      </c>
      <c r="P40" s="8" t="s">
        <v>9</v>
      </c>
      <c r="Q40" s="8">
        <v>2</v>
      </c>
      <c r="R40" s="8">
        <v>0</v>
      </c>
      <c r="S40" s="8">
        <v>0</v>
      </c>
      <c r="T40" s="8">
        <v>1</v>
      </c>
      <c r="U40" s="8">
        <v>1</v>
      </c>
      <c r="V40" s="3" t="s">
        <v>9</v>
      </c>
      <c r="W40" s="8">
        <v>0</v>
      </c>
      <c r="X40" s="8">
        <v>0</v>
      </c>
      <c r="Y40" s="8">
        <v>0</v>
      </c>
      <c r="Z40" s="8">
        <v>1</v>
      </c>
      <c r="AA40" s="8">
        <v>1</v>
      </c>
      <c r="AB40" s="3" t="s">
        <v>9</v>
      </c>
      <c r="AC40" s="8">
        <v>1</v>
      </c>
      <c r="AD40" s="3" t="s">
        <v>9</v>
      </c>
      <c r="AE40" s="8">
        <v>1</v>
      </c>
      <c r="AF40" s="8">
        <v>0</v>
      </c>
      <c r="AG40" s="8">
        <v>2</v>
      </c>
      <c r="AH40" s="8">
        <v>0</v>
      </c>
      <c r="AI40" s="26">
        <f t="shared" si="5"/>
        <v>13</v>
      </c>
      <c r="AJ40" s="87"/>
    </row>
    <row r="41" spans="1:36" x14ac:dyDescent="0.25">
      <c r="A41" s="89" t="s">
        <v>36</v>
      </c>
      <c r="B41" s="136" t="s">
        <v>18</v>
      </c>
      <c r="C41" s="29" t="s">
        <v>48</v>
      </c>
      <c r="D41" s="7">
        <v>6</v>
      </c>
      <c r="E41" s="7">
        <v>16</v>
      </c>
      <c r="F41" s="7">
        <v>2</v>
      </c>
      <c r="G41" s="7">
        <v>0</v>
      </c>
      <c r="H41" s="7">
        <v>0</v>
      </c>
      <c r="I41" s="7" t="s">
        <v>9</v>
      </c>
      <c r="J41" s="7" t="s">
        <v>30</v>
      </c>
      <c r="K41" s="7">
        <v>27</v>
      </c>
      <c r="L41" s="7">
        <v>1</v>
      </c>
      <c r="M41" s="7">
        <v>2</v>
      </c>
      <c r="N41" s="7">
        <v>1</v>
      </c>
      <c r="O41" s="7">
        <v>0</v>
      </c>
      <c r="P41" s="7" t="s">
        <v>9</v>
      </c>
      <c r="Q41" s="7">
        <v>3</v>
      </c>
      <c r="R41" s="7">
        <v>0</v>
      </c>
      <c r="S41" s="7">
        <v>1</v>
      </c>
      <c r="T41" s="7">
        <v>0</v>
      </c>
      <c r="U41" s="7">
        <v>0</v>
      </c>
      <c r="V41" s="7">
        <v>0</v>
      </c>
      <c r="W41" s="7" t="s">
        <v>9</v>
      </c>
      <c r="X41" s="7">
        <v>4</v>
      </c>
      <c r="Y41" s="7">
        <v>2</v>
      </c>
      <c r="Z41" s="7">
        <v>10</v>
      </c>
      <c r="AA41" s="7">
        <v>0</v>
      </c>
      <c r="AB41" s="7">
        <v>1</v>
      </c>
      <c r="AC41" s="7">
        <v>8</v>
      </c>
      <c r="AD41" s="7" t="s">
        <v>9</v>
      </c>
      <c r="AE41" s="7">
        <v>0</v>
      </c>
      <c r="AF41" s="7">
        <v>0</v>
      </c>
      <c r="AG41" s="7">
        <v>0</v>
      </c>
      <c r="AH41" s="7">
        <v>1</v>
      </c>
      <c r="AI41" s="27">
        <f t="shared" ref="AI41:AI46" si="6">SUM(D41:AH41)</f>
        <v>85</v>
      </c>
      <c r="AJ41" s="85">
        <f>SUM(AI41:AI46)</f>
        <v>669</v>
      </c>
    </row>
    <row r="42" spans="1:36" x14ac:dyDescent="0.25">
      <c r="A42" s="121"/>
      <c r="B42" s="137"/>
      <c r="C42" s="32" t="s">
        <v>50</v>
      </c>
      <c r="D42" s="14">
        <v>0</v>
      </c>
      <c r="E42" s="14">
        <v>1</v>
      </c>
      <c r="F42" s="14">
        <v>0</v>
      </c>
      <c r="G42" s="14">
        <v>0</v>
      </c>
      <c r="H42" s="14">
        <v>0</v>
      </c>
      <c r="I42" s="14" t="s">
        <v>9</v>
      </c>
      <c r="J42" s="14" t="s">
        <v>30</v>
      </c>
      <c r="K42" s="14">
        <v>1</v>
      </c>
      <c r="L42" s="14">
        <v>0</v>
      </c>
      <c r="M42" s="14">
        <v>1</v>
      </c>
      <c r="N42" s="14">
        <v>0</v>
      </c>
      <c r="O42" s="14">
        <v>3</v>
      </c>
      <c r="P42" s="14" t="s">
        <v>9</v>
      </c>
      <c r="Q42" s="14">
        <v>1</v>
      </c>
      <c r="R42" s="14">
        <v>2</v>
      </c>
      <c r="S42" s="14">
        <v>0</v>
      </c>
      <c r="T42" s="14">
        <v>2</v>
      </c>
      <c r="U42" s="14">
        <v>0</v>
      </c>
      <c r="V42" s="14">
        <v>1</v>
      </c>
      <c r="W42" s="14" t="s">
        <v>9</v>
      </c>
      <c r="X42" s="14">
        <v>0</v>
      </c>
      <c r="Y42" s="14">
        <v>0</v>
      </c>
      <c r="Z42" s="14">
        <v>0</v>
      </c>
      <c r="AA42" s="14">
        <v>1</v>
      </c>
      <c r="AB42" s="14">
        <v>0</v>
      </c>
      <c r="AC42" s="14">
        <v>0</v>
      </c>
      <c r="AD42" s="14" t="s">
        <v>9</v>
      </c>
      <c r="AE42" s="14">
        <v>0</v>
      </c>
      <c r="AF42" s="14">
        <v>0</v>
      </c>
      <c r="AG42" s="14">
        <v>1</v>
      </c>
      <c r="AH42" s="14">
        <v>4</v>
      </c>
      <c r="AI42" s="28">
        <f t="shared" si="6"/>
        <v>18</v>
      </c>
      <c r="AJ42" s="122"/>
    </row>
    <row r="43" spans="1:36" x14ac:dyDescent="0.25">
      <c r="A43" s="121"/>
      <c r="B43" s="137"/>
      <c r="C43" s="32" t="s">
        <v>49</v>
      </c>
      <c r="D43" s="14">
        <v>11</v>
      </c>
      <c r="E43" s="14">
        <v>15</v>
      </c>
      <c r="F43" s="14">
        <v>9</v>
      </c>
      <c r="G43" s="14">
        <v>8</v>
      </c>
      <c r="H43" s="14">
        <v>6</v>
      </c>
      <c r="I43" s="14" t="s">
        <v>9</v>
      </c>
      <c r="J43" s="14" t="s">
        <v>30</v>
      </c>
      <c r="K43" s="14">
        <v>10</v>
      </c>
      <c r="L43" s="14">
        <v>6</v>
      </c>
      <c r="M43" s="14">
        <v>9</v>
      </c>
      <c r="N43" s="14">
        <v>7</v>
      </c>
      <c r="O43" s="14">
        <v>0</v>
      </c>
      <c r="P43" s="14" t="s">
        <v>9</v>
      </c>
      <c r="Q43" s="14">
        <v>11</v>
      </c>
      <c r="R43" s="14">
        <v>21</v>
      </c>
      <c r="S43" s="14">
        <v>8</v>
      </c>
      <c r="T43" s="14">
        <v>4</v>
      </c>
      <c r="U43" s="14">
        <v>10</v>
      </c>
      <c r="V43" s="14">
        <v>4</v>
      </c>
      <c r="W43" s="14" t="s">
        <v>9</v>
      </c>
      <c r="X43" s="14">
        <v>15</v>
      </c>
      <c r="Y43" s="14">
        <v>24</v>
      </c>
      <c r="Z43" s="14">
        <v>20</v>
      </c>
      <c r="AA43" s="14">
        <v>12</v>
      </c>
      <c r="AB43" s="14">
        <v>15</v>
      </c>
      <c r="AC43" s="14">
        <v>22</v>
      </c>
      <c r="AD43" s="14" t="s">
        <v>9</v>
      </c>
      <c r="AE43" s="14">
        <v>0</v>
      </c>
      <c r="AF43" s="14">
        <v>8</v>
      </c>
      <c r="AG43" s="14">
        <v>13</v>
      </c>
      <c r="AH43" s="14">
        <v>5</v>
      </c>
      <c r="AI43" s="28">
        <f t="shared" si="6"/>
        <v>273</v>
      </c>
      <c r="AJ43" s="122"/>
    </row>
    <row r="44" spans="1:36" x14ac:dyDescent="0.25">
      <c r="A44" s="121"/>
      <c r="B44" s="138"/>
      <c r="C44" s="32" t="s">
        <v>51</v>
      </c>
      <c r="D44" s="14">
        <v>0</v>
      </c>
      <c r="E44" s="14">
        <v>9</v>
      </c>
      <c r="F44" s="14">
        <v>0</v>
      </c>
      <c r="G44" s="14">
        <v>0</v>
      </c>
      <c r="H44" s="14">
        <v>0</v>
      </c>
      <c r="I44" s="14" t="s">
        <v>9</v>
      </c>
      <c r="J44" s="14" t="s">
        <v>30</v>
      </c>
      <c r="K44" s="14">
        <v>5</v>
      </c>
      <c r="L44" s="14">
        <v>4</v>
      </c>
      <c r="M44" s="14">
        <v>7</v>
      </c>
      <c r="N44" s="14">
        <v>5</v>
      </c>
      <c r="O44" s="14">
        <v>1</v>
      </c>
      <c r="P44" s="14" t="s">
        <v>9</v>
      </c>
      <c r="Q44" s="14">
        <v>10</v>
      </c>
      <c r="R44" s="14">
        <v>11</v>
      </c>
      <c r="S44" s="14">
        <v>5</v>
      </c>
      <c r="T44" s="14">
        <v>4</v>
      </c>
      <c r="U44" s="14">
        <v>7</v>
      </c>
      <c r="V44" s="14">
        <v>2</v>
      </c>
      <c r="W44" s="14" t="s">
        <v>9</v>
      </c>
      <c r="X44" s="14">
        <v>5</v>
      </c>
      <c r="Y44" s="14">
        <v>4</v>
      </c>
      <c r="Z44" s="14">
        <v>6</v>
      </c>
      <c r="AA44" s="14">
        <v>6</v>
      </c>
      <c r="AB44" s="14">
        <v>0</v>
      </c>
      <c r="AC44" s="14">
        <v>0</v>
      </c>
      <c r="AD44" s="14" t="s">
        <v>9</v>
      </c>
      <c r="AE44" s="14">
        <v>0</v>
      </c>
      <c r="AF44" s="14">
        <v>0</v>
      </c>
      <c r="AG44" s="14">
        <v>3</v>
      </c>
      <c r="AH44" s="14">
        <v>5</v>
      </c>
      <c r="AI44" s="28">
        <f t="shared" si="6"/>
        <v>99</v>
      </c>
      <c r="AJ44" s="122"/>
    </row>
    <row r="45" spans="1:36" x14ac:dyDescent="0.25">
      <c r="A45" s="90"/>
      <c r="B45" s="139" t="s">
        <v>45</v>
      </c>
      <c r="C45" s="30" t="s">
        <v>46</v>
      </c>
      <c r="D45" s="3">
        <v>5</v>
      </c>
      <c r="E45" s="3">
        <v>18</v>
      </c>
      <c r="F45" s="3">
        <v>6</v>
      </c>
      <c r="G45" s="3">
        <v>2</v>
      </c>
      <c r="H45" s="3">
        <v>3</v>
      </c>
      <c r="I45" s="3" t="s">
        <v>9</v>
      </c>
      <c r="J45" s="3" t="s">
        <v>30</v>
      </c>
      <c r="K45" s="3">
        <v>26</v>
      </c>
      <c r="L45" s="3">
        <v>11</v>
      </c>
      <c r="M45" s="3">
        <v>9</v>
      </c>
      <c r="N45" s="3">
        <v>11</v>
      </c>
      <c r="O45" s="3">
        <v>1</v>
      </c>
      <c r="P45" s="3" t="s">
        <v>9</v>
      </c>
      <c r="Q45" s="3">
        <v>8</v>
      </c>
      <c r="R45" s="3">
        <v>8</v>
      </c>
      <c r="S45" s="3">
        <v>7</v>
      </c>
      <c r="T45" s="3">
        <v>5</v>
      </c>
      <c r="U45" s="3">
        <v>3</v>
      </c>
      <c r="V45" s="3">
        <v>0</v>
      </c>
      <c r="W45" s="3" t="s">
        <v>9</v>
      </c>
      <c r="X45" s="3">
        <v>6</v>
      </c>
      <c r="Y45" s="3">
        <v>7</v>
      </c>
      <c r="Z45" s="3">
        <v>13</v>
      </c>
      <c r="AA45" s="3">
        <v>7</v>
      </c>
      <c r="AB45" s="3">
        <v>3</v>
      </c>
      <c r="AC45" s="3">
        <v>9</v>
      </c>
      <c r="AD45" s="3" t="s">
        <v>9</v>
      </c>
      <c r="AE45" s="3">
        <v>5</v>
      </c>
      <c r="AF45" s="3">
        <v>0</v>
      </c>
      <c r="AG45" s="3">
        <v>3</v>
      </c>
      <c r="AH45" s="3">
        <v>9</v>
      </c>
      <c r="AI45" s="28">
        <f t="shared" si="6"/>
        <v>185</v>
      </c>
      <c r="AJ45" s="86"/>
    </row>
    <row r="46" spans="1:36" ht="13.5" thickBot="1" x14ac:dyDescent="0.3">
      <c r="A46" s="91"/>
      <c r="B46" s="140"/>
      <c r="C46" s="31" t="s">
        <v>47</v>
      </c>
      <c r="D46" s="8">
        <v>0</v>
      </c>
      <c r="E46" s="8">
        <v>0</v>
      </c>
      <c r="F46" s="8">
        <v>1</v>
      </c>
      <c r="G46" s="8">
        <v>0</v>
      </c>
      <c r="H46" s="8">
        <v>0</v>
      </c>
      <c r="I46" s="8" t="s">
        <v>9</v>
      </c>
      <c r="J46" s="8" t="s">
        <v>30</v>
      </c>
      <c r="K46" s="8">
        <v>0</v>
      </c>
      <c r="L46" s="8">
        <v>0</v>
      </c>
      <c r="M46" s="8">
        <v>0</v>
      </c>
      <c r="N46" s="8">
        <v>1</v>
      </c>
      <c r="O46" s="3">
        <v>0</v>
      </c>
      <c r="P46" s="8" t="s">
        <v>9</v>
      </c>
      <c r="Q46" s="8">
        <v>1</v>
      </c>
      <c r="R46" s="8">
        <v>1</v>
      </c>
      <c r="S46" s="8">
        <v>1</v>
      </c>
      <c r="T46" s="8">
        <v>1</v>
      </c>
      <c r="U46" s="8">
        <v>0</v>
      </c>
      <c r="V46" s="8">
        <v>0</v>
      </c>
      <c r="W46" s="3" t="s">
        <v>9</v>
      </c>
      <c r="X46" s="8">
        <v>1</v>
      </c>
      <c r="Y46" s="8">
        <v>1</v>
      </c>
      <c r="Z46" s="8">
        <v>0</v>
      </c>
      <c r="AA46" s="8">
        <v>0</v>
      </c>
      <c r="AB46" s="8">
        <v>0</v>
      </c>
      <c r="AC46" s="8">
        <v>0</v>
      </c>
      <c r="AD46" s="3" t="s">
        <v>9</v>
      </c>
      <c r="AE46" s="8">
        <v>0</v>
      </c>
      <c r="AF46" s="8">
        <v>0</v>
      </c>
      <c r="AG46" s="8">
        <v>1</v>
      </c>
      <c r="AH46" s="8">
        <v>0</v>
      </c>
      <c r="AI46" s="26">
        <f t="shared" si="6"/>
        <v>9</v>
      </c>
      <c r="AJ46" s="87"/>
    </row>
    <row r="47" spans="1:36" x14ac:dyDescent="0.25">
      <c r="A47" s="129" t="s">
        <v>65</v>
      </c>
      <c r="B47" s="124" t="s">
        <v>18</v>
      </c>
      <c r="C47" s="29" t="s">
        <v>48</v>
      </c>
      <c r="D47" s="7">
        <v>6</v>
      </c>
      <c r="E47" s="7">
        <v>14</v>
      </c>
      <c r="F47" s="7">
        <v>17</v>
      </c>
      <c r="G47" s="7">
        <v>33</v>
      </c>
      <c r="H47" s="7" t="s">
        <v>9</v>
      </c>
      <c r="I47" s="7" t="s">
        <v>9</v>
      </c>
      <c r="J47" s="7">
        <v>1</v>
      </c>
      <c r="K47" s="7">
        <v>21</v>
      </c>
      <c r="L47" s="7">
        <v>5</v>
      </c>
      <c r="M47" s="7">
        <v>1</v>
      </c>
      <c r="N47" s="7" t="s">
        <v>9</v>
      </c>
      <c r="O47" s="7">
        <v>0</v>
      </c>
      <c r="P47" s="7">
        <v>11</v>
      </c>
      <c r="Q47" s="20">
        <v>1</v>
      </c>
      <c r="R47" s="7">
        <v>8</v>
      </c>
      <c r="S47" s="7" t="s">
        <v>9</v>
      </c>
      <c r="T47" s="7">
        <v>0</v>
      </c>
      <c r="U47" s="7">
        <v>8</v>
      </c>
      <c r="V47" s="7" t="s">
        <v>9</v>
      </c>
      <c r="W47" s="7" t="s">
        <v>9</v>
      </c>
      <c r="X47" s="7">
        <v>5</v>
      </c>
      <c r="Y47" s="7">
        <v>2</v>
      </c>
      <c r="Z47" s="7">
        <v>14</v>
      </c>
      <c r="AA47" s="7">
        <v>15</v>
      </c>
      <c r="AB47" s="7">
        <v>2</v>
      </c>
      <c r="AC47" s="7">
        <v>43</v>
      </c>
      <c r="AD47" s="7" t="s">
        <v>9</v>
      </c>
      <c r="AE47" s="7">
        <v>23</v>
      </c>
      <c r="AF47" s="7">
        <v>2</v>
      </c>
      <c r="AG47" s="7">
        <v>11</v>
      </c>
      <c r="AH47" s="7">
        <v>65</v>
      </c>
      <c r="AI47" s="7">
        <f t="shared" ref="AI47:AI52" si="7">SUM(D47:AH47)</f>
        <v>308</v>
      </c>
      <c r="AJ47" s="85">
        <f>SUM(AI47:AI52)</f>
        <v>611</v>
      </c>
    </row>
    <row r="48" spans="1:36" x14ac:dyDescent="0.25">
      <c r="A48" s="126"/>
      <c r="B48" s="125"/>
      <c r="C48" s="32" t="s">
        <v>50</v>
      </c>
      <c r="D48" s="14">
        <v>4</v>
      </c>
      <c r="E48" s="3">
        <v>6</v>
      </c>
      <c r="F48" s="3">
        <v>3</v>
      </c>
      <c r="G48" s="3">
        <v>5</v>
      </c>
      <c r="H48" s="14" t="s">
        <v>9</v>
      </c>
      <c r="I48" s="14" t="s">
        <v>9</v>
      </c>
      <c r="J48" s="14">
        <v>7</v>
      </c>
      <c r="K48" s="14">
        <v>2</v>
      </c>
      <c r="L48" s="3">
        <v>3</v>
      </c>
      <c r="M48" s="3">
        <v>3</v>
      </c>
      <c r="N48" s="3" t="s">
        <v>9</v>
      </c>
      <c r="O48" s="3">
        <v>2</v>
      </c>
      <c r="P48" s="3">
        <v>19</v>
      </c>
      <c r="Q48" s="22">
        <v>2</v>
      </c>
      <c r="R48" s="14">
        <v>0</v>
      </c>
      <c r="S48" s="14" t="s">
        <v>9</v>
      </c>
      <c r="T48" s="3">
        <v>1</v>
      </c>
      <c r="U48" s="3">
        <v>1</v>
      </c>
      <c r="V48" s="14" t="s">
        <v>9</v>
      </c>
      <c r="W48" s="14" t="s">
        <v>9</v>
      </c>
      <c r="X48" s="14">
        <v>2</v>
      </c>
      <c r="Y48" s="14">
        <v>1</v>
      </c>
      <c r="Z48" s="3">
        <v>1</v>
      </c>
      <c r="AA48" s="3">
        <v>5</v>
      </c>
      <c r="AB48" s="3">
        <v>7</v>
      </c>
      <c r="AC48" s="3">
        <v>4</v>
      </c>
      <c r="AD48" s="14" t="s">
        <v>9</v>
      </c>
      <c r="AE48" s="14">
        <v>4</v>
      </c>
      <c r="AF48" s="14">
        <v>5</v>
      </c>
      <c r="AG48" s="14">
        <v>5</v>
      </c>
      <c r="AH48" s="3">
        <v>10</v>
      </c>
      <c r="AI48" s="3">
        <f t="shared" si="7"/>
        <v>102</v>
      </c>
      <c r="AJ48" s="122"/>
    </row>
    <row r="49" spans="1:36" x14ac:dyDescent="0.25">
      <c r="A49" s="126"/>
      <c r="B49" s="125"/>
      <c r="C49" s="32" t="s">
        <v>49</v>
      </c>
      <c r="D49" s="14">
        <v>0</v>
      </c>
      <c r="E49" s="3">
        <v>0</v>
      </c>
      <c r="F49" s="3">
        <v>0</v>
      </c>
      <c r="G49" s="3">
        <v>0</v>
      </c>
      <c r="H49" s="14" t="s">
        <v>9</v>
      </c>
      <c r="I49" s="14" t="s">
        <v>9</v>
      </c>
      <c r="J49" s="14">
        <v>0</v>
      </c>
      <c r="K49" s="14">
        <v>0</v>
      </c>
      <c r="L49" s="3">
        <v>0</v>
      </c>
      <c r="M49" s="3">
        <v>0</v>
      </c>
      <c r="N49" s="3" t="s">
        <v>9</v>
      </c>
      <c r="O49" s="3">
        <v>0</v>
      </c>
      <c r="P49" s="3">
        <v>0</v>
      </c>
      <c r="Q49" s="22">
        <v>0</v>
      </c>
      <c r="R49" s="14">
        <v>0</v>
      </c>
      <c r="S49" s="14" t="s">
        <v>9</v>
      </c>
      <c r="T49" s="3">
        <v>0</v>
      </c>
      <c r="U49" s="3">
        <v>0</v>
      </c>
      <c r="V49" s="14" t="s">
        <v>9</v>
      </c>
      <c r="W49" s="14" t="s">
        <v>9</v>
      </c>
      <c r="X49" s="14">
        <v>0</v>
      </c>
      <c r="Y49" s="14">
        <v>0</v>
      </c>
      <c r="Z49" s="3">
        <v>0</v>
      </c>
      <c r="AA49" s="3">
        <v>0</v>
      </c>
      <c r="AB49" s="3">
        <v>0</v>
      </c>
      <c r="AC49" s="3">
        <v>0</v>
      </c>
      <c r="AD49" s="14" t="s">
        <v>9</v>
      </c>
      <c r="AE49" s="14">
        <v>0</v>
      </c>
      <c r="AF49" s="14">
        <v>0</v>
      </c>
      <c r="AG49" s="14">
        <v>0</v>
      </c>
      <c r="AH49" s="3">
        <v>0</v>
      </c>
      <c r="AI49" s="3">
        <f t="shared" si="7"/>
        <v>0</v>
      </c>
      <c r="AJ49" s="122"/>
    </row>
    <row r="50" spans="1:36" x14ac:dyDescent="0.25">
      <c r="A50" s="126"/>
      <c r="B50" s="126"/>
      <c r="C50" s="32" t="s">
        <v>51</v>
      </c>
      <c r="D50" s="14">
        <v>4</v>
      </c>
      <c r="E50" s="3">
        <v>0</v>
      </c>
      <c r="F50" s="3">
        <v>1</v>
      </c>
      <c r="G50" s="3">
        <v>0</v>
      </c>
      <c r="H50" s="14" t="s">
        <v>9</v>
      </c>
      <c r="I50" s="14" t="s">
        <v>9</v>
      </c>
      <c r="J50" s="14">
        <v>2</v>
      </c>
      <c r="K50" s="14">
        <v>1</v>
      </c>
      <c r="L50" s="3">
        <v>3</v>
      </c>
      <c r="M50" s="3">
        <v>3</v>
      </c>
      <c r="N50" s="3" t="s">
        <v>9</v>
      </c>
      <c r="O50" s="3">
        <v>0</v>
      </c>
      <c r="P50" s="3">
        <v>1</v>
      </c>
      <c r="Q50" s="22">
        <v>0</v>
      </c>
      <c r="R50" s="14">
        <v>1</v>
      </c>
      <c r="S50" s="14" t="s">
        <v>9</v>
      </c>
      <c r="T50" s="3">
        <v>0</v>
      </c>
      <c r="U50" s="3">
        <v>3</v>
      </c>
      <c r="V50" s="14" t="s">
        <v>9</v>
      </c>
      <c r="W50" s="14" t="s">
        <v>9</v>
      </c>
      <c r="X50" s="14">
        <v>0</v>
      </c>
      <c r="Y50" s="14">
        <v>1</v>
      </c>
      <c r="Z50" s="3">
        <v>0</v>
      </c>
      <c r="AA50" s="3">
        <v>1</v>
      </c>
      <c r="AB50" s="3">
        <v>4</v>
      </c>
      <c r="AC50" s="3">
        <v>0</v>
      </c>
      <c r="AD50" s="14" t="s">
        <v>9</v>
      </c>
      <c r="AE50" s="14">
        <v>1</v>
      </c>
      <c r="AF50" s="14">
        <v>3</v>
      </c>
      <c r="AG50" s="14">
        <v>0</v>
      </c>
      <c r="AH50" s="3">
        <v>0</v>
      </c>
      <c r="AI50" s="3">
        <f t="shared" si="7"/>
        <v>29</v>
      </c>
      <c r="AJ50" s="122"/>
    </row>
    <row r="51" spans="1:36" x14ac:dyDescent="0.25">
      <c r="A51" s="130"/>
      <c r="B51" s="127" t="s">
        <v>45</v>
      </c>
      <c r="C51" s="30" t="s">
        <v>46</v>
      </c>
      <c r="D51" s="3">
        <v>20</v>
      </c>
      <c r="E51" s="3">
        <v>3</v>
      </c>
      <c r="F51" s="3">
        <v>4</v>
      </c>
      <c r="G51" s="3">
        <v>0</v>
      </c>
      <c r="H51" s="3" t="s">
        <v>9</v>
      </c>
      <c r="I51" s="3" t="s">
        <v>9</v>
      </c>
      <c r="J51" s="3">
        <v>7</v>
      </c>
      <c r="K51" s="3">
        <v>6</v>
      </c>
      <c r="L51" s="3">
        <v>7</v>
      </c>
      <c r="M51" s="3">
        <v>5</v>
      </c>
      <c r="N51" s="3" t="s">
        <v>9</v>
      </c>
      <c r="O51" s="3">
        <v>6</v>
      </c>
      <c r="P51" s="3">
        <v>19</v>
      </c>
      <c r="Q51" s="17">
        <v>2</v>
      </c>
      <c r="R51" s="3">
        <v>3</v>
      </c>
      <c r="S51" s="3" t="s">
        <v>9</v>
      </c>
      <c r="T51" s="3">
        <v>6</v>
      </c>
      <c r="U51" s="3">
        <v>6</v>
      </c>
      <c r="V51" s="3" t="s">
        <v>9</v>
      </c>
      <c r="W51" s="3" t="s">
        <v>9</v>
      </c>
      <c r="X51" s="3">
        <v>7</v>
      </c>
      <c r="Y51" s="3">
        <v>3</v>
      </c>
      <c r="Z51" s="3">
        <v>7</v>
      </c>
      <c r="AA51" s="3">
        <v>4</v>
      </c>
      <c r="AB51" s="3">
        <v>9</v>
      </c>
      <c r="AC51" s="3">
        <v>1</v>
      </c>
      <c r="AD51" s="3" t="s">
        <v>9</v>
      </c>
      <c r="AE51" s="3">
        <v>16</v>
      </c>
      <c r="AF51" s="3">
        <v>6</v>
      </c>
      <c r="AG51" s="3">
        <v>20</v>
      </c>
      <c r="AH51" s="3">
        <v>1</v>
      </c>
      <c r="AI51" s="3">
        <f t="shared" si="7"/>
        <v>168</v>
      </c>
      <c r="AJ51" s="86"/>
    </row>
    <row r="52" spans="1:36" ht="13.5" thickBot="1" x14ac:dyDescent="0.3">
      <c r="A52" s="131"/>
      <c r="B52" s="128"/>
      <c r="C52" s="31" t="s">
        <v>47</v>
      </c>
      <c r="D52" s="8">
        <v>1</v>
      </c>
      <c r="E52" s="8">
        <v>1</v>
      </c>
      <c r="F52" s="8">
        <v>0</v>
      </c>
      <c r="G52" s="8">
        <v>0</v>
      </c>
      <c r="H52" s="8" t="s">
        <v>9</v>
      </c>
      <c r="I52" s="8" t="s">
        <v>9</v>
      </c>
      <c r="J52" s="8">
        <v>0</v>
      </c>
      <c r="K52" s="8">
        <v>0</v>
      </c>
      <c r="L52" s="8">
        <v>0</v>
      </c>
      <c r="M52" s="8">
        <v>0</v>
      </c>
      <c r="N52" s="8" t="s">
        <v>9</v>
      </c>
      <c r="O52" s="8">
        <v>0</v>
      </c>
      <c r="P52" s="8">
        <v>0</v>
      </c>
      <c r="Q52" s="21">
        <v>0</v>
      </c>
      <c r="R52" s="8">
        <v>0</v>
      </c>
      <c r="S52" s="8" t="s">
        <v>9</v>
      </c>
      <c r="T52" s="8">
        <v>0</v>
      </c>
      <c r="U52" s="8">
        <v>0</v>
      </c>
      <c r="V52" s="3" t="s">
        <v>9</v>
      </c>
      <c r="W52" s="3" t="s">
        <v>9</v>
      </c>
      <c r="X52" s="8">
        <v>0</v>
      </c>
      <c r="Y52" s="8">
        <v>0</v>
      </c>
      <c r="Z52" s="8">
        <v>0</v>
      </c>
      <c r="AA52" s="8">
        <v>0</v>
      </c>
      <c r="AB52" s="8">
        <v>1</v>
      </c>
      <c r="AC52" s="8">
        <v>0</v>
      </c>
      <c r="AD52" s="3" t="s">
        <v>9</v>
      </c>
      <c r="AE52" s="8">
        <v>0</v>
      </c>
      <c r="AF52" s="8">
        <v>0</v>
      </c>
      <c r="AG52" s="8">
        <v>1</v>
      </c>
      <c r="AH52" s="8">
        <v>0</v>
      </c>
      <c r="AI52" s="8">
        <f t="shared" si="7"/>
        <v>4</v>
      </c>
      <c r="AJ52" s="87"/>
    </row>
    <row r="53" spans="1:36" x14ac:dyDescent="0.25">
      <c r="A53" s="106" t="s">
        <v>39</v>
      </c>
      <c r="B53" s="124" t="s">
        <v>18</v>
      </c>
      <c r="C53" s="29" t="s">
        <v>48</v>
      </c>
      <c r="D53" s="7" t="s">
        <v>30</v>
      </c>
      <c r="E53" s="7" t="s">
        <v>30</v>
      </c>
      <c r="F53" s="7" t="s">
        <v>30</v>
      </c>
      <c r="G53" s="7" t="s">
        <v>30</v>
      </c>
      <c r="H53" s="7" t="s">
        <v>30</v>
      </c>
      <c r="I53" s="7" t="s">
        <v>30</v>
      </c>
      <c r="J53" s="7" t="s">
        <v>30</v>
      </c>
      <c r="K53" s="7" t="s">
        <v>30</v>
      </c>
      <c r="L53" s="7" t="s">
        <v>30</v>
      </c>
      <c r="M53" s="7" t="s">
        <v>30</v>
      </c>
      <c r="N53" s="7" t="s">
        <v>30</v>
      </c>
      <c r="O53" s="7" t="s">
        <v>30</v>
      </c>
      <c r="P53" s="7" t="s">
        <v>30</v>
      </c>
      <c r="Q53" s="20" t="s">
        <v>30</v>
      </c>
      <c r="R53" s="7" t="s">
        <v>30</v>
      </c>
      <c r="S53" s="7" t="s">
        <v>30</v>
      </c>
      <c r="T53" s="7" t="s">
        <v>30</v>
      </c>
      <c r="U53" s="7" t="s">
        <v>30</v>
      </c>
      <c r="V53" s="7" t="s">
        <v>30</v>
      </c>
      <c r="W53" s="7" t="s">
        <v>30</v>
      </c>
      <c r="X53" s="7" t="s">
        <v>30</v>
      </c>
      <c r="Y53" s="7" t="s">
        <v>30</v>
      </c>
      <c r="Z53" s="7" t="s">
        <v>30</v>
      </c>
      <c r="AA53" s="7" t="s">
        <v>30</v>
      </c>
      <c r="AB53" s="7" t="s">
        <v>30</v>
      </c>
      <c r="AC53" s="7" t="s">
        <v>30</v>
      </c>
      <c r="AD53" s="7" t="s">
        <v>30</v>
      </c>
      <c r="AE53" s="7" t="s">
        <v>30</v>
      </c>
      <c r="AF53" s="7" t="s">
        <v>30</v>
      </c>
      <c r="AG53" s="7" t="s">
        <v>30</v>
      </c>
      <c r="AH53" s="7" t="s">
        <v>30</v>
      </c>
      <c r="AI53" s="27">
        <f t="shared" ref="AI53:AI58" si="8">SUM(D53:AH53)</f>
        <v>0</v>
      </c>
      <c r="AJ53" s="85">
        <f>SUM(AI53:AI58)</f>
        <v>0</v>
      </c>
    </row>
    <row r="54" spans="1:36" x14ac:dyDescent="0.25">
      <c r="A54" s="72"/>
      <c r="B54" s="125"/>
      <c r="C54" s="32" t="s">
        <v>50</v>
      </c>
      <c r="D54" s="14" t="s">
        <v>30</v>
      </c>
      <c r="E54" s="14" t="s">
        <v>30</v>
      </c>
      <c r="F54" s="14" t="s">
        <v>30</v>
      </c>
      <c r="G54" s="14" t="s">
        <v>30</v>
      </c>
      <c r="H54" s="14" t="s">
        <v>30</v>
      </c>
      <c r="I54" s="14" t="s">
        <v>30</v>
      </c>
      <c r="J54" s="14" t="s">
        <v>30</v>
      </c>
      <c r="K54" s="14" t="s">
        <v>30</v>
      </c>
      <c r="L54" s="14" t="s">
        <v>30</v>
      </c>
      <c r="M54" s="14" t="s">
        <v>30</v>
      </c>
      <c r="N54" s="14" t="s">
        <v>30</v>
      </c>
      <c r="O54" s="14" t="s">
        <v>30</v>
      </c>
      <c r="P54" s="14" t="s">
        <v>30</v>
      </c>
      <c r="Q54" s="22" t="s">
        <v>30</v>
      </c>
      <c r="R54" s="14" t="s">
        <v>30</v>
      </c>
      <c r="S54" s="14" t="s">
        <v>30</v>
      </c>
      <c r="T54" s="14" t="s">
        <v>30</v>
      </c>
      <c r="U54" s="14" t="s">
        <v>30</v>
      </c>
      <c r="V54" s="14" t="s">
        <v>30</v>
      </c>
      <c r="W54" s="14" t="s">
        <v>30</v>
      </c>
      <c r="X54" s="14" t="s">
        <v>30</v>
      </c>
      <c r="Y54" s="14" t="s">
        <v>30</v>
      </c>
      <c r="Z54" s="14" t="s">
        <v>30</v>
      </c>
      <c r="AA54" s="14" t="s">
        <v>30</v>
      </c>
      <c r="AB54" s="14" t="s">
        <v>30</v>
      </c>
      <c r="AC54" s="14" t="s">
        <v>30</v>
      </c>
      <c r="AD54" s="14" t="s">
        <v>30</v>
      </c>
      <c r="AE54" s="14" t="s">
        <v>30</v>
      </c>
      <c r="AF54" s="14" t="s">
        <v>30</v>
      </c>
      <c r="AG54" s="14" t="s">
        <v>30</v>
      </c>
      <c r="AH54" s="14" t="s">
        <v>30</v>
      </c>
      <c r="AI54" s="28">
        <f t="shared" si="8"/>
        <v>0</v>
      </c>
      <c r="AJ54" s="122"/>
    </row>
    <row r="55" spans="1:36" x14ac:dyDescent="0.25">
      <c r="A55" s="72"/>
      <c r="B55" s="125"/>
      <c r="C55" s="32" t="s">
        <v>49</v>
      </c>
      <c r="D55" s="14" t="s">
        <v>30</v>
      </c>
      <c r="E55" s="14" t="s">
        <v>30</v>
      </c>
      <c r="F55" s="14" t="s">
        <v>30</v>
      </c>
      <c r="G55" s="14" t="s">
        <v>30</v>
      </c>
      <c r="H55" s="14" t="s">
        <v>30</v>
      </c>
      <c r="I55" s="14" t="s">
        <v>30</v>
      </c>
      <c r="J55" s="14" t="s">
        <v>30</v>
      </c>
      <c r="K55" s="14" t="s">
        <v>30</v>
      </c>
      <c r="L55" s="14" t="s">
        <v>30</v>
      </c>
      <c r="M55" s="14" t="s">
        <v>30</v>
      </c>
      <c r="N55" s="14" t="s">
        <v>30</v>
      </c>
      <c r="O55" s="14" t="s">
        <v>30</v>
      </c>
      <c r="P55" s="14" t="s">
        <v>30</v>
      </c>
      <c r="Q55" s="22" t="s">
        <v>30</v>
      </c>
      <c r="R55" s="14" t="s">
        <v>30</v>
      </c>
      <c r="S55" s="14" t="s">
        <v>30</v>
      </c>
      <c r="T55" s="14" t="s">
        <v>30</v>
      </c>
      <c r="U55" s="14" t="s">
        <v>30</v>
      </c>
      <c r="V55" s="14" t="s">
        <v>30</v>
      </c>
      <c r="W55" s="14" t="s">
        <v>30</v>
      </c>
      <c r="X55" s="14" t="s">
        <v>30</v>
      </c>
      <c r="Y55" s="14" t="s">
        <v>30</v>
      </c>
      <c r="Z55" s="14" t="s">
        <v>30</v>
      </c>
      <c r="AA55" s="14" t="s">
        <v>30</v>
      </c>
      <c r="AB55" s="14" t="s">
        <v>30</v>
      </c>
      <c r="AC55" s="14" t="s">
        <v>30</v>
      </c>
      <c r="AD55" s="14" t="s">
        <v>30</v>
      </c>
      <c r="AE55" s="14" t="s">
        <v>30</v>
      </c>
      <c r="AF55" s="14" t="s">
        <v>30</v>
      </c>
      <c r="AG55" s="14" t="s">
        <v>30</v>
      </c>
      <c r="AH55" s="14" t="s">
        <v>30</v>
      </c>
      <c r="AI55" s="28">
        <f t="shared" si="8"/>
        <v>0</v>
      </c>
      <c r="AJ55" s="122"/>
    </row>
    <row r="56" spans="1:36" x14ac:dyDescent="0.25">
      <c r="A56" s="72"/>
      <c r="B56" s="126"/>
      <c r="C56" s="32" t="s">
        <v>51</v>
      </c>
      <c r="D56" s="14" t="s">
        <v>30</v>
      </c>
      <c r="E56" s="14" t="s">
        <v>30</v>
      </c>
      <c r="F56" s="14" t="s">
        <v>30</v>
      </c>
      <c r="G56" s="14" t="s">
        <v>30</v>
      </c>
      <c r="H56" s="14" t="s">
        <v>30</v>
      </c>
      <c r="I56" s="14" t="s">
        <v>30</v>
      </c>
      <c r="J56" s="14" t="s">
        <v>30</v>
      </c>
      <c r="K56" s="14" t="s">
        <v>30</v>
      </c>
      <c r="L56" s="14" t="s">
        <v>30</v>
      </c>
      <c r="M56" s="14" t="s">
        <v>30</v>
      </c>
      <c r="N56" s="14" t="s">
        <v>30</v>
      </c>
      <c r="O56" s="14" t="s">
        <v>30</v>
      </c>
      <c r="P56" s="14" t="s">
        <v>30</v>
      </c>
      <c r="Q56" s="22" t="s">
        <v>30</v>
      </c>
      <c r="R56" s="14" t="s">
        <v>30</v>
      </c>
      <c r="S56" s="14" t="s">
        <v>30</v>
      </c>
      <c r="T56" s="14" t="s">
        <v>30</v>
      </c>
      <c r="U56" s="14" t="s">
        <v>30</v>
      </c>
      <c r="V56" s="14" t="s">
        <v>30</v>
      </c>
      <c r="W56" s="14" t="s">
        <v>30</v>
      </c>
      <c r="X56" s="14" t="s">
        <v>30</v>
      </c>
      <c r="Y56" s="14" t="s">
        <v>30</v>
      </c>
      <c r="Z56" s="14" t="s">
        <v>30</v>
      </c>
      <c r="AA56" s="14" t="s">
        <v>30</v>
      </c>
      <c r="AB56" s="14" t="s">
        <v>30</v>
      </c>
      <c r="AC56" s="14" t="s">
        <v>30</v>
      </c>
      <c r="AD56" s="14" t="s">
        <v>30</v>
      </c>
      <c r="AE56" s="14" t="s">
        <v>30</v>
      </c>
      <c r="AF56" s="14" t="s">
        <v>30</v>
      </c>
      <c r="AG56" s="14" t="s">
        <v>30</v>
      </c>
      <c r="AH56" s="14" t="s">
        <v>30</v>
      </c>
      <c r="AI56" s="28">
        <f t="shared" si="8"/>
        <v>0</v>
      </c>
      <c r="AJ56" s="122"/>
    </row>
    <row r="57" spans="1:36" x14ac:dyDescent="0.25">
      <c r="A57" s="72"/>
      <c r="B57" s="127" t="s">
        <v>45</v>
      </c>
      <c r="C57" s="30" t="s">
        <v>46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17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  <c r="AB57" s="3" t="s">
        <v>30</v>
      </c>
      <c r="AC57" s="3" t="s">
        <v>30</v>
      </c>
      <c r="AD57" s="3" t="s">
        <v>30</v>
      </c>
      <c r="AE57" s="3" t="s">
        <v>30</v>
      </c>
      <c r="AF57" s="3" t="s">
        <v>30</v>
      </c>
      <c r="AG57" s="3" t="s">
        <v>30</v>
      </c>
      <c r="AH57" s="3" t="s">
        <v>30</v>
      </c>
      <c r="AI57" s="28">
        <f t="shared" si="8"/>
        <v>0</v>
      </c>
      <c r="AJ57" s="86"/>
    </row>
    <row r="58" spans="1:36" ht="13.5" thickBot="1" x14ac:dyDescent="0.3">
      <c r="A58" s="107"/>
      <c r="B58" s="128"/>
      <c r="C58" s="31" t="s">
        <v>47</v>
      </c>
      <c r="D58" s="8" t="s">
        <v>30</v>
      </c>
      <c r="E58" s="8" t="s">
        <v>30</v>
      </c>
      <c r="F58" s="8" t="s">
        <v>30</v>
      </c>
      <c r="G58" s="8" t="s">
        <v>30</v>
      </c>
      <c r="H58" s="8" t="s">
        <v>30</v>
      </c>
      <c r="I58" s="8" t="s">
        <v>30</v>
      </c>
      <c r="J58" s="8" t="s">
        <v>30</v>
      </c>
      <c r="K58" s="8" t="s">
        <v>30</v>
      </c>
      <c r="L58" s="8" t="s">
        <v>30</v>
      </c>
      <c r="M58" s="8" t="s">
        <v>30</v>
      </c>
      <c r="N58" s="8" t="s">
        <v>30</v>
      </c>
      <c r="O58" s="8" t="s">
        <v>30</v>
      </c>
      <c r="P58" s="8" t="s">
        <v>30</v>
      </c>
      <c r="Q58" s="21" t="s">
        <v>30</v>
      </c>
      <c r="R58" s="8" t="s">
        <v>30</v>
      </c>
      <c r="S58" s="8" t="s">
        <v>30</v>
      </c>
      <c r="T58" s="8" t="s">
        <v>30</v>
      </c>
      <c r="U58" s="8" t="s">
        <v>30</v>
      </c>
      <c r="V58" s="8" t="s">
        <v>30</v>
      </c>
      <c r="W58" s="8" t="s">
        <v>30</v>
      </c>
      <c r="X58" s="8" t="s">
        <v>30</v>
      </c>
      <c r="Y58" s="8" t="s">
        <v>30</v>
      </c>
      <c r="Z58" s="8" t="s">
        <v>30</v>
      </c>
      <c r="AA58" s="8" t="s">
        <v>30</v>
      </c>
      <c r="AB58" s="8" t="s">
        <v>30</v>
      </c>
      <c r="AC58" s="8" t="s">
        <v>30</v>
      </c>
      <c r="AD58" s="8" t="s">
        <v>30</v>
      </c>
      <c r="AE58" s="8" t="s">
        <v>30</v>
      </c>
      <c r="AF58" s="8" t="s">
        <v>30</v>
      </c>
      <c r="AG58" s="8" t="s">
        <v>30</v>
      </c>
      <c r="AH58" s="8" t="s">
        <v>30</v>
      </c>
      <c r="AI58" s="26">
        <f t="shared" si="8"/>
        <v>0</v>
      </c>
      <c r="AJ58" s="87"/>
    </row>
    <row r="59" spans="1:36" x14ac:dyDescent="0.25">
      <c r="A59" s="142" t="s">
        <v>22</v>
      </c>
      <c r="B59" s="124" t="s">
        <v>18</v>
      </c>
      <c r="C59" s="29" t="s">
        <v>48</v>
      </c>
      <c r="D59" s="7" t="s">
        <v>10</v>
      </c>
      <c r="E59" s="7" t="s">
        <v>10</v>
      </c>
      <c r="F59" s="7" t="s">
        <v>10</v>
      </c>
      <c r="G59" s="7" t="s">
        <v>10</v>
      </c>
      <c r="H59" s="7" t="s">
        <v>10</v>
      </c>
      <c r="I59" s="7" t="s">
        <v>10</v>
      </c>
      <c r="J59" s="7" t="s">
        <v>10</v>
      </c>
      <c r="K59" s="7" t="s">
        <v>10</v>
      </c>
      <c r="L59" s="7" t="s">
        <v>10</v>
      </c>
      <c r="M59" s="7" t="s">
        <v>10</v>
      </c>
      <c r="N59" s="7" t="s">
        <v>10</v>
      </c>
      <c r="O59" s="7" t="s">
        <v>10</v>
      </c>
      <c r="P59" s="7" t="s">
        <v>10</v>
      </c>
      <c r="Q59" s="7" t="s">
        <v>10</v>
      </c>
      <c r="R59" s="7" t="s">
        <v>10</v>
      </c>
      <c r="S59" s="7" t="s">
        <v>10</v>
      </c>
      <c r="T59" s="7" t="s">
        <v>10</v>
      </c>
      <c r="U59" s="7" t="s">
        <v>10</v>
      </c>
      <c r="V59" s="7" t="s">
        <v>10</v>
      </c>
      <c r="W59" s="7" t="s">
        <v>10</v>
      </c>
      <c r="X59" s="7" t="s">
        <v>10</v>
      </c>
      <c r="Y59" s="7" t="s">
        <v>10</v>
      </c>
      <c r="Z59" s="7" t="s">
        <v>10</v>
      </c>
      <c r="AA59" s="7" t="s">
        <v>10</v>
      </c>
      <c r="AB59" s="7" t="s">
        <v>10</v>
      </c>
      <c r="AC59" s="7" t="s">
        <v>10</v>
      </c>
      <c r="AD59" s="7" t="s">
        <v>10</v>
      </c>
      <c r="AE59" s="7" t="s">
        <v>10</v>
      </c>
      <c r="AF59" s="7" t="s">
        <v>10</v>
      </c>
      <c r="AG59" s="7" t="s">
        <v>10</v>
      </c>
      <c r="AH59" s="7" t="s">
        <v>10</v>
      </c>
      <c r="AI59" s="27">
        <f t="shared" si="2"/>
        <v>0</v>
      </c>
      <c r="AJ59" s="85">
        <f>SUM(AI59:AI64)</f>
        <v>0</v>
      </c>
    </row>
    <row r="60" spans="1:36" x14ac:dyDescent="0.25">
      <c r="A60" s="143"/>
      <c r="B60" s="125"/>
      <c r="C60" s="32" t="s">
        <v>50</v>
      </c>
      <c r="D60" s="14" t="s">
        <v>10</v>
      </c>
      <c r="E60" s="14" t="s">
        <v>10</v>
      </c>
      <c r="F60" s="14" t="s">
        <v>10</v>
      </c>
      <c r="G60" s="14" t="s">
        <v>10</v>
      </c>
      <c r="H60" s="14" t="s">
        <v>10</v>
      </c>
      <c r="I60" s="14" t="s">
        <v>10</v>
      </c>
      <c r="J60" s="14" t="s">
        <v>10</v>
      </c>
      <c r="K60" s="14" t="s">
        <v>10</v>
      </c>
      <c r="L60" s="14" t="s">
        <v>10</v>
      </c>
      <c r="M60" s="14" t="s">
        <v>10</v>
      </c>
      <c r="N60" s="14" t="s">
        <v>10</v>
      </c>
      <c r="O60" s="14" t="s">
        <v>10</v>
      </c>
      <c r="P60" s="14" t="s">
        <v>10</v>
      </c>
      <c r="Q60" s="14" t="s">
        <v>10</v>
      </c>
      <c r="R60" s="14" t="s">
        <v>10</v>
      </c>
      <c r="S60" s="14" t="s">
        <v>10</v>
      </c>
      <c r="T60" s="14" t="s">
        <v>10</v>
      </c>
      <c r="U60" s="14" t="s">
        <v>10</v>
      </c>
      <c r="V60" s="14" t="s">
        <v>10</v>
      </c>
      <c r="W60" s="14" t="s">
        <v>10</v>
      </c>
      <c r="X60" s="14" t="s">
        <v>10</v>
      </c>
      <c r="Y60" s="14" t="s">
        <v>10</v>
      </c>
      <c r="Z60" s="14" t="s">
        <v>10</v>
      </c>
      <c r="AA60" s="14" t="s">
        <v>10</v>
      </c>
      <c r="AB60" s="14" t="s">
        <v>10</v>
      </c>
      <c r="AC60" s="14" t="s">
        <v>10</v>
      </c>
      <c r="AD60" s="14" t="s">
        <v>10</v>
      </c>
      <c r="AE60" s="14" t="s">
        <v>10</v>
      </c>
      <c r="AF60" s="14" t="s">
        <v>10</v>
      </c>
      <c r="AG60" s="14" t="s">
        <v>10</v>
      </c>
      <c r="AH60" s="14" t="s">
        <v>10</v>
      </c>
      <c r="AI60" s="28">
        <f t="shared" si="2"/>
        <v>0</v>
      </c>
      <c r="AJ60" s="122"/>
    </row>
    <row r="61" spans="1:36" x14ac:dyDescent="0.25">
      <c r="A61" s="143"/>
      <c r="B61" s="125"/>
      <c r="C61" s="32" t="s">
        <v>49</v>
      </c>
      <c r="D61" s="14" t="s">
        <v>10</v>
      </c>
      <c r="E61" s="14" t="s">
        <v>10</v>
      </c>
      <c r="F61" s="14" t="s">
        <v>10</v>
      </c>
      <c r="G61" s="14" t="s">
        <v>10</v>
      </c>
      <c r="H61" s="14" t="s">
        <v>10</v>
      </c>
      <c r="I61" s="14" t="s">
        <v>10</v>
      </c>
      <c r="J61" s="14" t="s">
        <v>10</v>
      </c>
      <c r="K61" s="14" t="s">
        <v>10</v>
      </c>
      <c r="L61" s="14" t="s">
        <v>10</v>
      </c>
      <c r="M61" s="14" t="s">
        <v>10</v>
      </c>
      <c r="N61" s="14" t="s">
        <v>10</v>
      </c>
      <c r="O61" s="14" t="s">
        <v>10</v>
      </c>
      <c r="P61" s="14" t="s">
        <v>10</v>
      </c>
      <c r="Q61" s="14" t="s">
        <v>10</v>
      </c>
      <c r="R61" s="14" t="s">
        <v>10</v>
      </c>
      <c r="S61" s="14" t="s">
        <v>10</v>
      </c>
      <c r="T61" s="14" t="s">
        <v>10</v>
      </c>
      <c r="U61" s="14" t="s">
        <v>10</v>
      </c>
      <c r="V61" s="14" t="s">
        <v>10</v>
      </c>
      <c r="W61" s="14" t="s">
        <v>10</v>
      </c>
      <c r="X61" s="14" t="s">
        <v>10</v>
      </c>
      <c r="Y61" s="14" t="s">
        <v>10</v>
      </c>
      <c r="Z61" s="14" t="s">
        <v>10</v>
      </c>
      <c r="AA61" s="14" t="s">
        <v>10</v>
      </c>
      <c r="AB61" s="14" t="s">
        <v>10</v>
      </c>
      <c r="AC61" s="14" t="s">
        <v>10</v>
      </c>
      <c r="AD61" s="14" t="s">
        <v>10</v>
      </c>
      <c r="AE61" s="14" t="s">
        <v>10</v>
      </c>
      <c r="AF61" s="14" t="s">
        <v>10</v>
      </c>
      <c r="AG61" s="14" t="s">
        <v>10</v>
      </c>
      <c r="AH61" s="14" t="s">
        <v>10</v>
      </c>
      <c r="AI61" s="28">
        <f t="shared" si="2"/>
        <v>0</v>
      </c>
      <c r="AJ61" s="122"/>
    </row>
    <row r="62" spans="1:36" x14ac:dyDescent="0.25">
      <c r="A62" s="143"/>
      <c r="B62" s="126"/>
      <c r="C62" s="32" t="s">
        <v>51</v>
      </c>
      <c r="D62" s="14" t="s">
        <v>10</v>
      </c>
      <c r="E62" s="14" t="s">
        <v>10</v>
      </c>
      <c r="F62" s="14" t="s">
        <v>10</v>
      </c>
      <c r="G62" s="14" t="s">
        <v>10</v>
      </c>
      <c r="H62" s="14" t="s">
        <v>10</v>
      </c>
      <c r="I62" s="14" t="s">
        <v>10</v>
      </c>
      <c r="J62" s="14" t="s">
        <v>10</v>
      </c>
      <c r="K62" s="14" t="s">
        <v>10</v>
      </c>
      <c r="L62" s="14" t="s">
        <v>10</v>
      </c>
      <c r="M62" s="14" t="s">
        <v>10</v>
      </c>
      <c r="N62" s="14" t="s">
        <v>10</v>
      </c>
      <c r="O62" s="14" t="s">
        <v>10</v>
      </c>
      <c r="P62" s="14" t="s">
        <v>10</v>
      </c>
      <c r="Q62" s="14" t="s">
        <v>10</v>
      </c>
      <c r="R62" s="14" t="s">
        <v>10</v>
      </c>
      <c r="S62" s="14" t="s">
        <v>10</v>
      </c>
      <c r="T62" s="14" t="s">
        <v>10</v>
      </c>
      <c r="U62" s="14" t="s">
        <v>10</v>
      </c>
      <c r="V62" s="14" t="s">
        <v>10</v>
      </c>
      <c r="W62" s="14" t="s">
        <v>10</v>
      </c>
      <c r="X62" s="14" t="s">
        <v>10</v>
      </c>
      <c r="Y62" s="14" t="s">
        <v>10</v>
      </c>
      <c r="Z62" s="14" t="s">
        <v>10</v>
      </c>
      <c r="AA62" s="14" t="s">
        <v>10</v>
      </c>
      <c r="AB62" s="14" t="s">
        <v>10</v>
      </c>
      <c r="AC62" s="14" t="s">
        <v>10</v>
      </c>
      <c r="AD62" s="14" t="s">
        <v>10</v>
      </c>
      <c r="AE62" s="14" t="s">
        <v>10</v>
      </c>
      <c r="AF62" s="14" t="s">
        <v>10</v>
      </c>
      <c r="AG62" s="14" t="s">
        <v>10</v>
      </c>
      <c r="AH62" s="14" t="s">
        <v>10</v>
      </c>
      <c r="AI62" s="28">
        <f t="shared" si="2"/>
        <v>0</v>
      </c>
      <c r="AJ62" s="122"/>
    </row>
    <row r="63" spans="1:36" x14ac:dyDescent="0.25">
      <c r="A63" s="143"/>
      <c r="B63" s="127" t="s">
        <v>45</v>
      </c>
      <c r="C63" s="30" t="s">
        <v>46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10</v>
      </c>
      <c r="I63" s="3" t="s">
        <v>10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2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28">
        <f t="shared" si="2"/>
        <v>0</v>
      </c>
      <c r="AJ63" s="86"/>
    </row>
    <row r="64" spans="1:36" ht="13.5" thickBot="1" x14ac:dyDescent="0.3">
      <c r="A64" s="144"/>
      <c r="B64" s="128"/>
      <c r="C64" s="31" t="s">
        <v>47</v>
      </c>
      <c r="D64" s="8" t="s">
        <v>10</v>
      </c>
      <c r="E64" s="8" t="s">
        <v>10</v>
      </c>
      <c r="F64" s="8" t="s">
        <v>10</v>
      </c>
      <c r="G64" s="8" t="s">
        <v>10</v>
      </c>
      <c r="H64" s="8" t="s">
        <v>10</v>
      </c>
      <c r="I64" s="8" t="s">
        <v>10</v>
      </c>
      <c r="J64" s="8" t="s">
        <v>10</v>
      </c>
      <c r="K64" s="8" t="s">
        <v>10</v>
      </c>
      <c r="L64" s="8" t="s">
        <v>10</v>
      </c>
      <c r="M64" s="8" t="s">
        <v>10</v>
      </c>
      <c r="N64" s="8" t="s">
        <v>10</v>
      </c>
      <c r="O64" s="8" t="s">
        <v>10</v>
      </c>
      <c r="P64" s="8" t="s">
        <v>10</v>
      </c>
      <c r="Q64" s="8" t="s">
        <v>10</v>
      </c>
      <c r="R64" s="8" t="s">
        <v>10</v>
      </c>
      <c r="S64" s="8" t="s">
        <v>10</v>
      </c>
      <c r="T64" s="8" t="s">
        <v>10</v>
      </c>
      <c r="U64" s="8" t="s">
        <v>10</v>
      </c>
      <c r="V64" s="8" t="s">
        <v>10</v>
      </c>
      <c r="W64" s="8" t="s">
        <v>10</v>
      </c>
      <c r="X64" s="8" t="s">
        <v>10</v>
      </c>
      <c r="Y64" s="8" t="s">
        <v>10</v>
      </c>
      <c r="Z64" s="8" t="s">
        <v>10</v>
      </c>
      <c r="AA64" s="8" t="s">
        <v>10</v>
      </c>
      <c r="AB64" s="8" t="s">
        <v>10</v>
      </c>
      <c r="AC64" s="8" t="s">
        <v>10</v>
      </c>
      <c r="AD64" s="8" t="s">
        <v>10</v>
      </c>
      <c r="AE64" s="8" t="s">
        <v>10</v>
      </c>
      <c r="AF64" s="8" t="s">
        <v>10</v>
      </c>
      <c r="AG64" s="8" t="s">
        <v>10</v>
      </c>
      <c r="AH64" s="8" t="s">
        <v>10</v>
      </c>
      <c r="AI64" s="26">
        <f t="shared" si="2"/>
        <v>0</v>
      </c>
      <c r="AJ64" s="87"/>
    </row>
    <row r="65" spans="1:36" ht="13.5" thickBot="1" x14ac:dyDescent="0.3">
      <c r="A65" s="110" t="s">
        <v>1</v>
      </c>
      <c r="B65" s="141"/>
      <c r="C65" s="111"/>
      <c r="D65" s="9">
        <f t="shared" ref="D65:AJ65" si="9">SUM(D17:D64)</f>
        <v>313</v>
      </c>
      <c r="E65" s="9">
        <f t="shared" si="9"/>
        <v>267</v>
      </c>
      <c r="F65" s="9">
        <f t="shared" si="9"/>
        <v>189</v>
      </c>
      <c r="G65" s="9">
        <f t="shared" si="9"/>
        <v>146</v>
      </c>
      <c r="H65" s="9">
        <f t="shared" si="9"/>
        <v>59</v>
      </c>
      <c r="I65" s="9" t="s">
        <v>29</v>
      </c>
      <c r="J65" s="9">
        <f t="shared" si="9"/>
        <v>192</v>
      </c>
      <c r="K65" s="9">
        <f t="shared" si="9"/>
        <v>279</v>
      </c>
      <c r="L65" s="9">
        <f t="shared" si="9"/>
        <v>167</v>
      </c>
      <c r="M65" s="9">
        <f t="shared" si="9"/>
        <v>124</v>
      </c>
      <c r="N65" s="9">
        <f t="shared" si="9"/>
        <v>146</v>
      </c>
      <c r="O65" s="9">
        <f t="shared" si="9"/>
        <v>46</v>
      </c>
      <c r="P65" s="9">
        <f t="shared" si="9"/>
        <v>50</v>
      </c>
      <c r="Q65" s="9">
        <f t="shared" si="9"/>
        <v>148</v>
      </c>
      <c r="R65" s="9">
        <f t="shared" si="9"/>
        <v>133</v>
      </c>
      <c r="S65" s="9">
        <f t="shared" si="9"/>
        <v>85</v>
      </c>
      <c r="T65" s="9">
        <f t="shared" si="9"/>
        <v>76</v>
      </c>
      <c r="U65" s="9">
        <f t="shared" si="9"/>
        <v>93</v>
      </c>
      <c r="V65" s="9">
        <f t="shared" si="9"/>
        <v>43</v>
      </c>
      <c r="W65" s="9">
        <f t="shared" si="9"/>
        <v>30</v>
      </c>
      <c r="X65" s="9">
        <f t="shared" si="9"/>
        <v>139</v>
      </c>
      <c r="Y65" s="9">
        <f t="shared" si="9"/>
        <v>193</v>
      </c>
      <c r="Z65" s="9">
        <f t="shared" si="9"/>
        <v>236</v>
      </c>
      <c r="AA65" s="9">
        <f t="shared" si="9"/>
        <v>195</v>
      </c>
      <c r="AB65" s="9">
        <f t="shared" si="9"/>
        <v>190</v>
      </c>
      <c r="AC65" s="9">
        <f t="shared" si="9"/>
        <v>122</v>
      </c>
      <c r="AD65" s="9">
        <f t="shared" si="9"/>
        <v>63</v>
      </c>
      <c r="AE65" s="9">
        <f t="shared" si="9"/>
        <v>225</v>
      </c>
      <c r="AF65" s="9">
        <f t="shared" si="9"/>
        <v>190</v>
      </c>
      <c r="AG65" s="9">
        <f t="shared" si="9"/>
        <v>349</v>
      </c>
      <c r="AH65" s="9">
        <f t="shared" si="9"/>
        <v>271</v>
      </c>
      <c r="AI65" s="9">
        <f t="shared" si="9"/>
        <v>4759</v>
      </c>
      <c r="AJ65" s="33">
        <f t="shared" si="9"/>
        <v>4759</v>
      </c>
    </row>
    <row r="67" spans="1:36" s="5" customFormat="1" ht="12" x14ac:dyDescent="0.25">
      <c r="D67" s="1" t="s">
        <v>10</v>
      </c>
      <c r="E67" s="109" t="s">
        <v>11</v>
      </c>
      <c r="F67" s="109"/>
      <c r="G67" s="6"/>
      <c r="H67" s="1" t="s">
        <v>9</v>
      </c>
      <c r="I67" s="109" t="s">
        <v>12</v>
      </c>
      <c r="J67" s="109"/>
      <c r="K67" s="6"/>
      <c r="L67" s="1" t="s">
        <v>13</v>
      </c>
      <c r="M67" s="109" t="s">
        <v>14</v>
      </c>
      <c r="N67" s="109"/>
      <c r="O67" s="109"/>
      <c r="P67" s="109"/>
      <c r="Q67" s="109"/>
      <c r="R67" s="6"/>
      <c r="S67" s="1" t="s">
        <v>15</v>
      </c>
      <c r="T67" s="109" t="s">
        <v>16</v>
      </c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</row>
    <row r="68" spans="1:36" x14ac:dyDescent="0.25">
      <c r="H68" s="1" t="s">
        <v>55</v>
      </c>
      <c r="I68" s="109" t="s">
        <v>56</v>
      </c>
      <c r="J68" s="109"/>
    </row>
  </sheetData>
  <mergeCells count="64">
    <mergeCell ref="A53:A58"/>
    <mergeCell ref="B53:B56"/>
    <mergeCell ref="AJ53:AJ58"/>
    <mergeCell ref="B57:B58"/>
    <mergeCell ref="A65:C65"/>
    <mergeCell ref="A59:A64"/>
    <mergeCell ref="B59:B62"/>
    <mergeCell ref="AJ59:AJ64"/>
    <mergeCell ref="B63:B64"/>
    <mergeCell ref="I68:J68"/>
    <mergeCell ref="E67:F67"/>
    <mergeCell ref="I67:J67"/>
    <mergeCell ref="M67:Q67"/>
    <mergeCell ref="T67:AJ67"/>
    <mergeCell ref="A35:A40"/>
    <mergeCell ref="B35:B38"/>
    <mergeCell ref="AJ35:AJ40"/>
    <mergeCell ref="B39:B40"/>
    <mergeCell ref="A47:A52"/>
    <mergeCell ref="B47:B50"/>
    <mergeCell ref="AJ47:AJ52"/>
    <mergeCell ref="B51:B52"/>
    <mergeCell ref="A17:A22"/>
    <mergeCell ref="B17:B20"/>
    <mergeCell ref="AJ17:AJ22"/>
    <mergeCell ref="B21:B22"/>
    <mergeCell ref="A41:A46"/>
    <mergeCell ref="B41:B44"/>
    <mergeCell ref="AJ41:AJ46"/>
    <mergeCell ref="B45:B46"/>
    <mergeCell ref="A29:A34"/>
    <mergeCell ref="B29:B32"/>
    <mergeCell ref="AJ29:AJ34"/>
    <mergeCell ref="B33:B34"/>
    <mergeCell ref="A23:A28"/>
    <mergeCell ref="B23:B26"/>
    <mergeCell ref="AJ23:AJ28"/>
    <mergeCell ref="B27:B28"/>
    <mergeCell ref="A15:A16"/>
    <mergeCell ref="B15:C16"/>
    <mergeCell ref="AI15:AI16"/>
    <mergeCell ref="AJ15:AJ16"/>
    <mergeCell ref="A8:C8"/>
    <mergeCell ref="AI8:AJ8"/>
    <mergeCell ref="A10:C10"/>
    <mergeCell ref="AI10:AJ10"/>
    <mergeCell ref="A11:C11"/>
    <mergeCell ref="AI11:AJ11"/>
    <mergeCell ref="A12:C12"/>
    <mergeCell ref="AI12:AJ12"/>
    <mergeCell ref="A14:AJ14"/>
    <mergeCell ref="A5:C5"/>
    <mergeCell ref="AI5:AJ5"/>
    <mergeCell ref="A7:C7"/>
    <mergeCell ref="AI7:AJ7"/>
    <mergeCell ref="A9:C9"/>
    <mergeCell ref="AI9:AJ9"/>
    <mergeCell ref="A6:C6"/>
    <mergeCell ref="AI6:AJ6"/>
    <mergeCell ref="A1:AJ1"/>
    <mergeCell ref="A2:C3"/>
    <mergeCell ref="AI2:AJ3"/>
    <mergeCell ref="A4:C4"/>
    <mergeCell ref="AI4:AJ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EABF-1D00-448C-AADD-A4D24F4149B9}">
  <dimension ref="A1:AP75"/>
  <sheetViews>
    <sheetView zoomScale="90" zoomScaleNormal="90" workbookViewId="0">
      <selection activeCell="AL16" sqref="AL16:AL17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85546875" style="2" customWidth="1"/>
    <col min="5" max="5" width="4" style="2" bestFit="1" customWidth="1"/>
    <col min="6" max="6" width="5" style="2" bestFit="1" customWidth="1"/>
    <col min="7" max="7" width="4" style="2" bestFit="1" customWidth="1"/>
    <col min="8" max="8" width="4.5703125" style="2" customWidth="1"/>
    <col min="9" max="9" width="4.7109375" style="2" customWidth="1"/>
    <col min="10" max="10" width="4" style="2" customWidth="1"/>
    <col min="11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4.42578125" style="2" bestFit="1" customWidth="1"/>
    <col min="22" max="23" width="4" style="2" bestFit="1" customWidth="1"/>
    <col min="24" max="25" width="4.140625" style="2" bestFit="1" customWidth="1"/>
    <col min="26" max="27" width="5" style="2" bestFit="1" customWidth="1"/>
    <col min="28" max="29" width="4" style="2" bestFit="1" customWidth="1"/>
    <col min="30" max="30" width="3.7109375" style="2" customWidth="1"/>
    <col min="31" max="32" width="5" style="2" bestFit="1" customWidth="1"/>
    <col min="33" max="33" width="5.140625" style="2" customWidth="1"/>
    <col min="34" max="34" width="4.85546875" style="2" customWidth="1"/>
    <col min="35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42" ht="22.5" customHeight="1" thickBot="1" x14ac:dyDescent="0.3">
      <c r="A1" s="76" t="s">
        <v>71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42" ht="59.25" customHeight="1" x14ac:dyDescent="0.25">
      <c r="A2" s="77" t="s">
        <v>0</v>
      </c>
      <c r="B2" s="112"/>
      <c r="C2" s="78"/>
      <c r="D2" s="11">
        <v>45870</v>
      </c>
      <c r="E2" s="11">
        <v>45871</v>
      </c>
      <c r="F2" s="11">
        <v>45872</v>
      </c>
      <c r="G2" s="11">
        <v>45873</v>
      </c>
      <c r="H2" s="11">
        <v>45874</v>
      </c>
      <c r="I2" s="11">
        <v>45875</v>
      </c>
      <c r="J2" s="11">
        <v>45876</v>
      </c>
      <c r="K2" s="11">
        <v>45877</v>
      </c>
      <c r="L2" s="11">
        <v>45878</v>
      </c>
      <c r="M2" s="11">
        <v>45879</v>
      </c>
      <c r="N2" s="11">
        <v>45880</v>
      </c>
      <c r="O2" s="11">
        <v>45881</v>
      </c>
      <c r="P2" s="11">
        <v>45882</v>
      </c>
      <c r="Q2" s="11">
        <v>45883</v>
      </c>
      <c r="R2" s="11">
        <v>45884</v>
      </c>
      <c r="S2" s="11">
        <v>45885</v>
      </c>
      <c r="T2" s="11">
        <v>45886</v>
      </c>
      <c r="U2" s="11">
        <v>45887</v>
      </c>
      <c r="V2" s="11">
        <v>45888</v>
      </c>
      <c r="W2" s="11">
        <v>45889</v>
      </c>
      <c r="X2" s="11">
        <v>45890</v>
      </c>
      <c r="Y2" s="11">
        <v>45891</v>
      </c>
      <c r="Z2" s="11">
        <v>45892</v>
      </c>
      <c r="AA2" s="11">
        <v>45893</v>
      </c>
      <c r="AB2" s="11">
        <v>45894</v>
      </c>
      <c r="AC2" s="11">
        <v>45895</v>
      </c>
      <c r="AD2" s="11">
        <v>45896</v>
      </c>
      <c r="AE2" s="11">
        <v>45897</v>
      </c>
      <c r="AF2" s="11">
        <v>45898</v>
      </c>
      <c r="AG2" s="11">
        <v>45899</v>
      </c>
      <c r="AH2" s="11">
        <v>45900</v>
      </c>
      <c r="AI2" s="81" t="s">
        <v>1</v>
      </c>
      <c r="AJ2" s="82"/>
    </row>
    <row r="3" spans="1:42" ht="71.25" customHeight="1" x14ac:dyDescent="0.25">
      <c r="A3" s="79"/>
      <c r="B3" s="113"/>
      <c r="C3" s="80"/>
      <c r="D3" s="12" t="s">
        <v>7</v>
      </c>
      <c r="E3" s="12" t="s">
        <v>8</v>
      </c>
      <c r="F3" s="12" t="s">
        <v>2</v>
      </c>
      <c r="G3" s="12" t="s">
        <v>3</v>
      </c>
      <c r="H3" s="12" t="s">
        <v>4</v>
      </c>
      <c r="I3" s="12" t="s">
        <v>5</v>
      </c>
      <c r="J3" s="12" t="s">
        <v>6</v>
      </c>
      <c r="K3" s="12" t="s">
        <v>7</v>
      </c>
      <c r="L3" s="12" t="s">
        <v>8</v>
      </c>
      <c r="M3" s="12" t="s">
        <v>2</v>
      </c>
      <c r="N3" s="12" t="s">
        <v>3</v>
      </c>
      <c r="O3" s="12" t="s">
        <v>4</v>
      </c>
      <c r="P3" s="12" t="s">
        <v>5</v>
      </c>
      <c r="Q3" s="12" t="s">
        <v>6</v>
      </c>
      <c r="R3" s="12" t="s">
        <v>7</v>
      </c>
      <c r="S3" s="12" t="s">
        <v>8</v>
      </c>
      <c r="T3" s="12" t="s">
        <v>2</v>
      </c>
      <c r="U3" s="12" t="s">
        <v>3</v>
      </c>
      <c r="V3" s="12" t="s">
        <v>4</v>
      </c>
      <c r="W3" s="12" t="s">
        <v>5</v>
      </c>
      <c r="X3" s="12" t="s">
        <v>6</v>
      </c>
      <c r="Y3" s="12" t="s">
        <v>7</v>
      </c>
      <c r="Z3" s="12" t="s">
        <v>8</v>
      </c>
      <c r="AA3" s="12" t="s">
        <v>2</v>
      </c>
      <c r="AB3" s="12" t="s">
        <v>3</v>
      </c>
      <c r="AC3" s="12" t="s">
        <v>4</v>
      </c>
      <c r="AD3" s="12" t="s">
        <v>5</v>
      </c>
      <c r="AE3" s="12" t="s">
        <v>6</v>
      </c>
      <c r="AF3" s="12" t="s">
        <v>7</v>
      </c>
      <c r="AG3" s="12" t="s">
        <v>8</v>
      </c>
      <c r="AH3" s="12" t="s">
        <v>2</v>
      </c>
      <c r="AI3" s="83"/>
      <c r="AJ3" s="84"/>
      <c r="AP3" s="2" t="s">
        <v>62</v>
      </c>
    </row>
    <row r="4" spans="1:42" x14ac:dyDescent="0.25">
      <c r="A4" s="72" t="s">
        <v>34</v>
      </c>
      <c r="B4" s="114"/>
      <c r="C4" s="73"/>
      <c r="D4" s="3" t="s">
        <v>9</v>
      </c>
      <c r="E4" s="13">
        <v>78</v>
      </c>
      <c r="F4" s="13">
        <v>21</v>
      </c>
      <c r="G4" s="3">
        <v>243</v>
      </c>
      <c r="H4" s="13">
        <v>208</v>
      </c>
      <c r="I4" s="3">
        <v>117</v>
      </c>
      <c r="J4" s="3">
        <v>60</v>
      </c>
      <c r="K4" s="3" t="s">
        <v>9</v>
      </c>
      <c r="L4" s="3" t="s">
        <v>9</v>
      </c>
      <c r="M4" s="3" t="s">
        <v>9</v>
      </c>
      <c r="N4" s="3">
        <v>47</v>
      </c>
      <c r="O4" s="18">
        <v>68</v>
      </c>
      <c r="P4" s="18">
        <v>122</v>
      </c>
      <c r="Q4" s="18">
        <v>73</v>
      </c>
      <c r="R4" s="3">
        <v>90</v>
      </c>
      <c r="S4" s="13">
        <v>77</v>
      </c>
      <c r="T4" s="18" t="s">
        <v>9</v>
      </c>
      <c r="U4" s="3">
        <v>229</v>
      </c>
      <c r="V4" s="17">
        <v>135</v>
      </c>
      <c r="W4" s="13">
        <v>122</v>
      </c>
      <c r="X4" s="3">
        <v>84</v>
      </c>
      <c r="Y4" s="3">
        <v>42</v>
      </c>
      <c r="Z4" s="13" t="s">
        <v>9</v>
      </c>
      <c r="AA4" s="3" t="s">
        <v>9</v>
      </c>
      <c r="AB4" s="3">
        <v>141</v>
      </c>
      <c r="AC4" s="13">
        <v>125</v>
      </c>
      <c r="AD4" s="13">
        <v>131</v>
      </c>
      <c r="AE4" s="13">
        <v>224</v>
      </c>
      <c r="AF4" s="13">
        <v>243</v>
      </c>
      <c r="AG4" s="3">
        <v>200</v>
      </c>
      <c r="AH4" s="18" t="s">
        <v>9</v>
      </c>
      <c r="AI4" s="74">
        <f>SUM(D4:AH4)</f>
        <v>2880</v>
      </c>
      <c r="AJ4" s="75"/>
    </row>
    <row r="5" spans="1:42" x14ac:dyDescent="0.25">
      <c r="A5" s="72" t="s">
        <v>38</v>
      </c>
      <c r="B5" s="114"/>
      <c r="C5" s="73"/>
      <c r="D5" s="3">
        <v>135</v>
      </c>
      <c r="E5" s="3" t="s">
        <v>9</v>
      </c>
      <c r="F5" s="3" t="s">
        <v>9</v>
      </c>
      <c r="G5" s="3">
        <v>180</v>
      </c>
      <c r="H5" s="3">
        <v>92</v>
      </c>
      <c r="I5" s="3">
        <v>87</v>
      </c>
      <c r="J5" s="3">
        <v>109</v>
      </c>
      <c r="K5" s="3">
        <v>116</v>
      </c>
      <c r="L5" s="3">
        <v>60</v>
      </c>
      <c r="M5" s="3" t="s">
        <v>9</v>
      </c>
      <c r="N5" s="3">
        <v>124</v>
      </c>
      <c r="O5" s="17">
        <v>53</v>
      </c>
      <c r="P5" s="17">
        <v>69</v>
      </c>
      <c r="Q5" s="18">
        <v>50</v>
      </c>
      <c r="R5" s="3" t="s">
        <v>9</v>
      </c>
      <c r="S5" s="3" t="s">
        <v>9</v>
      </c>
      <c r="T5" s="3" t="s">
        <v>9</v>
      </c>
      <c r="U5" s="3">
        <v>141</v>
      </c>
      <c r="V5" s="17">
        <v>115</v>
      </c>
      <c r="W5" s="3">
        <v>138</v>
      </c>
      <c r="X5" s="3">
        <v>132</v>
      </c>
      <c r="Y5" s="3">
        <v>67</v>
      </c>
      <c r="Z5" s="3">
        <v>65</v>
      </c>
      <c r="AA5" s="3" t="s">
        <v>9</v>
      </c>
      <c r="AB5" s="3">
        <v>154</v>
      </c>
      <c r="AC5" s="3">
        <v>163</v>
      </c>
      <c r="AD5" s="3">
        <v>163</v>
      </c>
      <c r="AE5" s="3">
        <v>143</v>
      </c>
      <c r="AF5" s="3">
        <v>277</v>
      </c>
      <c r="AG5" s="3" t="s">
        <v>9</v>
      </c>
      <c r="AH5" s="17" t="s">
        <v>9</v>
      </c>
      <c r="AI5" s="74">
        <f>SUM(D5:AH5)</f>
        <v>2633</v>
      </c>
      <c r="AJ5" s="75"/>
    </row>
    <row r="6" spans="1:42" x14ac:dyDescent="0.25">
      <c r="A6" s="72" t="s">
        <v>33</v>
      </c>
      <c r="B6" s="114"/>
      <c r="C6" s="73"/>
      <c r="D6" s="3">
        <v>20</v>
      </c>
      <c r="E6" s="3" t="s">
        <v>9</v>
      </c>
      <c r="F6" s="3" t="s">
        <v>9</v>
      </c>
      <c r="G6" s="3">
        <v>172</v>
      </c>
      <c r="H6" s="3">
        <v>127</v>
      </c>
      <c r="I6" s="3">
        <v>65</v>
      </c>
      <c r="J6" s="3">
        <v>105</v>
      </c>
      <c r="K6" s="3">
        <v>103</v>
      </c>
      <c r="L6" s="3">
        <v>51</v>
      </c>
      <c r="M6" s="3" t="s">
        <v>9</v>
      </c>
      <c r="N6" s="3">
        <v>67</v>
      </c>
      <c r="O6" s="3">
        <v>75</v>
      </c>
      <c r="P6" s="3">
        <v>71</v>
      </c>
      <c r="Q6" s="3">
        <v>41</v>
      </c>
      <c r="R6" s="3" t="s">
        <v>9</v>
      </c>
      <c r="S6" s="3" t="s">
        <v>9</v>
      </c>
      <c r="T6" s="3" t="s">
        <v>9</v>
      </c>
      <c r="U6" s="3">
        <v>138</v>
      </c>
      <c r="V6" s="3">
        <v>96</v>
      </c>
      <c r="W6" s="3">
        <v>147</v>
      </c>
      <c r="X6" s="3">
        <v>92</v>
      </c>
      <c r="Y6" s="3">
        <v>47</v>
      </c>
      <c r="Z6" s="3">
        <v>14</v>
      </c>
      <c r="AA6" s="3" t="s">
        <v>9</v>
      </c>
      <c r="AB6" s="3">
        <v>154</v>
      </c>
      <c r="AC6" s="3">
        <v>94</v>
      </c>
      <c r="AD6" s="3">
        <v>72</v>
      </c>
      <c r="AE6" s="3">
        <v>259</v>
      </c>
      <c r="AF6" s="3">
        <v>234</v>
      </c>
      <c r="AG6" s="3" t="s">
        <v>9</v>
      </c>
      <c r="AH6" s="3" t="s">
        <v>9</v>
      </c>
      <c r="AI6" s="74">
        <f t="shared" ref="AI6:AI9" si="0">SUM(D6:AH6)</f>
        <v>2244</v>
      </c>
      <c r="AJ6" s="75"/>
    </row>
    <row r="7" spans="1:42" x14ac:dyDescent="0.25">
      <c r="A7" s="72" t="s">
        <v>35</v>
      </c>
      <c r="B7" s="114"/>
      <c r="C7" s="73"/>
      <c r="D7" s="3">
        <v>38</v>
      </c>
      <c r="E7" s="3" t="s">
        <v>9</v>
      </c>
      <c r="F7" s="3" t="s">
        <v>9</v>
      </c>
      <c r="G7" s="3">
        <v>94</v>
      </c>
      <c r="H7" s="3">
        <v>120</v>
      </c>
      <c r="I7" s="3">
        <v>76</v>
      </c>
      <c r="J7" s="3">
        <v>94</v>
      </c>
      <c r="K7" s="3">
        <v>70</v>
      </c>
      <c r="L7" s="3" t="s">
        <v>9</v>
      </c>
      <c r="M7" s="3">
        <v>31</v>
      </c>
      <c r="N7" s="3">
        <v>105</v>
      </c>
      <c r="O7" s="17">
        <v>65</v>
      </c>
      <c r="P7" s="17">
        <v>45</v>
      </c>
      <c r="Q7" s="3" t="s">
        <v>9</v>
      </c>
      <c r="R7" s="3" t="s">
        <v>9</v>
      </c>
      <c r="S7" s="3" t="s">
        <v>9</v>
      </c>
      <c r="T7" s="3" t="s">
        <v>9</v>
      </c>
      <c r="U7" s="3">
        <v>112</v>
      </c>
      <c r="V7" s="17">
        <v>98</v>
      </c>
      <c r="W7" s="3">
        <v>128</v>
      </c>
      <c r="X7" s="3">
        <v>27</v>
      </c>
      <c r="Y7" s="3">
        <v>18</v>
      </c>
      <c r="Z7" s="3" t="s">
        <v>9</v>
      </c>
      <c r="AA7" s="3" t="s">
        <v>9</v>
      </c>
      <c r="AB7" s="3">
        <v>142</v>
      </c>
      <c r="AC7" s="3">
        <v>139</v>
      </c>
      <c r="AD7" s="3">
        <v>114</v>
      </c>
      <c r="AE7" s="3">
        <v>134</v>
      </c>
      <c r="AF7" s="3">
        <v>152</v>
      </c>
      <c r="AG7" s="3" t="s">
        <v>9</v>
      </c>
      <c r="AH7" s="17" t="s">
        <v>9</v>
      </c>
      <c r="AI7" s="74">
        <f t="shared" si="0"/>
        <v>1802</v>
      </c>
      <c r="AJ7" s="75"/>
    </row>
    <row r="8" spans="1:42" x14ac:dyDescent="0.25">
      <c r="A8" s="72" t="s">
        <v>22</v>
      </c>
      <c r="B8" s="114"/>
      <c r="C8" s="73"/>
      <c r="D8" s="3">
        <v>18</v>
      </c>
      <c r="E8" s="3" t="s">
        <v>9</v>
      </c>
      <c r="F8" s="3" t="s">
        <v>9</v>
      </c>
      <c r="G8" s="3">
        <v>86</v>
      </c>
      <c r="H8" s="3">
        <v>89</v>
      </c>
      <c r="I8" s="3">
        <v>70</v>
      </c>
      <c r="J8" s="3">
        <v>41</v>
      </c>
      <c r="K8" s="3">
        <v>29</v>
      </c>
      <c r="L8" s="3">
        <v>47</v>
      </c>
      <c r="M8" s="3" t="s">
        <v>9</v>
      </c>
      <c r="N8" s="3">
        <v>10</v>
      </c>
      <c r="O8" s="3">
        <v>32</v>
      </c>
      <c r="P8" s="3">
        <v>47</v>
      </c>
      <c r="Q8" s="3">
        <v>52</v>
      </c>
      <c r="R8" s="3">
        <v>47</v>
      </c>
      <c r="S8" s="3" t="s">
        <v>9</v>
      </c>
      <c r="T8" s="3">
        <v>44</v>
      </c>
      <c r="U8" s="3">
        <v>78</v>
      </c>
      <c r="V8" s="3">
        <v>97</v>
      </c>
      <c r="W8" s="3">
        <v>53</v>
      </c>
      <c r="X8" s="3" t="s">
        <v>9</v>
      </c>
      <c r="Y8" s="3">
        <v>14</v>
      </c>
      <c r="Z8" s="3">
        <v>19</v>
      </c>
      <c r="AA8" s="3" t="s">
        <v>9</v>
      </c>
      <c r="AB8" s="3">
        <v>109</v>
      </c>
      <c r="AC8" s="3">
        <v>108</v>
      </c>
      <c r="AD8" s="3">
        <v>32</v>
      </c>
      <c r="AE8" s="3">
        <v>219</v>
      </c>
      <c r="AF8" s="3">
        <v>174</v>
      </c>
      <c r="AG8" s="3" t="s">
        <v>9</v>
      </c>
      <c r="AH8" s="3" t="s">
        <v>9</v>
      </c>
      <c r="AI8" s="74">
        <f>SUM(D8:AH8)</f>
        <v>1515</v>
      </c>
      <c r="AJ8" s="75"/>
    </row>
    <row r="9" spans="1:42" x14ac:dyDescent="0.25">
      <c r="A9" s="72" t="s">
        <v>36</v>
      </c>
      <c r="B9" s="114"/>
      <c r="C9" s="73"/>
      <c r="D9" s="3">
        <v>36</v>
      </c>
      <c r="E9" s="3">
        <v>14</v>
      </c>
      <c r="F9" s="13" t="s">
        <v>9</v>
      </c>
      <c r="G9" s="3">
        <v>92</v>
      </c>
      <c r="H9" s="3">
        <v>110</v>
      </c>
      <c r="I9" s="13">
        <v>78</v>
      </c>
      <c r="J9" s="3">
        <v>83</v>
      </c>
      <c r="K9" s="3">
        <v>30</v>
      </c>
      <c r="L9" s="3" t="s">
        <v>9</v>
      </c>
      <c r="M9" s="3" t="s">
        <v>9</v>
      </c>
      <c r="N9" s="3">
        <v>32</v>
      </c>
      <c r="O9" s="17">
        <v>45</v>
      </c>
      <c r="P9" s="17">
        <v>9</v>
      </c>
      <c r="Q9" s="3">
        <v>19</v>
      </c>
      <c r="R9" s="3">
        <v>43</v>
      </c>
      <c r="S9" s="3">
        <v>16</v>
      </c>
      <c r="T9" s="13" t="s">
        <v>9</v>
      </c>
      <c r="U9" s="3">
        <v>29</v>
      </c>
      <c r="V9" s="17">
        <v>11</v>
      </c>
      <c r="W9" s="17">
        <v>43</v>
      </c>
      <c r="X9" s="3">
        <v>31</v>
      </c>
      <c r="Y9" s="3">
        <v>69</v>
      </c>
      <c r="Z9" s="3">
        <v>53</v>
      </c>
      <c r="AA9" s="3" t="s">
        <v>9</v>
      </c>
      <c r="AB9" s="3">
        <v>82</v>
      </c>
      <c r="AC9" s="13">
        <v>89</v>
      </c>
      <c r="AD9" s="13" t="s">
        <v>30</v>
      </c>
      <c r="AE9" s="13">
        <v>96</v>
      </c>
      <c r="AF9" s="13">
        <v>109</v>
      </c>
      <c r="AG9" s="3">
        <v>93</v>
      </c>
      <c r="AH9" s="17" t="s">
        <v>9</v>
      </c>
      <c r="AI9" s="74">
        <f t="shared" si="0"/>
        <v>1312</v>
      </c>
      <c r="AJ9" s="75"/>
    </row>
    <row r="10" spans="1:42" x14ac:dyDescent="0.25">
      <c r="A10" s="72" t="s">
        <v>32</v>
      </c>
      <c r="B10" s="114"/>
      <c r="C10" s="73"/>
      <c r="D10" s="3">
        <v>97</v>
      </c>
      <c r="E10" s="3">
        <v>40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74">
        <f t="shared" ref="AI10:AI11" si="1">SUM(D10:AH10)</f>
        <v>137</v>
      </c>
      <c r="AJ10" s="75"/>
    </row>
    <row r="11" spans="1:42" x14ac:dyDescent="0.25">
      <c r="A11" s="72" t="s">
        <v>39</v>
      </c>
      <c r="B11" s="114"/>
      <c r="C11" s="73"/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1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17" t="s">
        <v>30</v>
      </c>
      <c r="P11" s="17" t="s">
        <v>30</v>
      </c>
      <c r="Q11" s="1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  <c r="AB11" s="3" t="s">
        <v>30</v>
      </c>
      <c r="AC11" s="3" t="s">
        <v>30</v>
      </c>
      <c r="AD11" s="3" t="s">
        <v>30</v>
      </c>
      <c r="AE11" s="3" t="s">
        <v>30</v>
      </c>
      <c r="AF11" s="3" t="s">
        <v>30</v>
      </c>
      <c r="AG11" s="3" t="s">
        <v>30</v>
      </c>
      <c r="AH11" s="3" t="s">
        <v>30</v>
      </c>
      <c r="AI11" s="74">
        <f t="shared" si="1"/>
        <v>0</v>
      </c>
      <c r="AJ11" s="75"/>
    </row>
    <row r="12" spans="1:42" ht="13.5" thickBot="1" x14ac:dyDescent="0.3">
      <c r="A12" s="92" t="s">
        <v>1</v>
      </c>
      <c r="B12" s="115"/>
      <c r="C12" s="93"/>
      <c r="D12" s="10">
        <f>SUM(D4:D11)</f>
        <v>344</v>
      </c>
      <c r="E12" s="10">
        <f>SUM(E4:E11)</f>
        <v>132</v>
      </c>
      <c r="F12" s="10">
        <f>SUM(F4:F11)</f>
        <v>21</v>
      </c>
      <c r="G12" s="10">
        <f>SUM(G4:G11)</f>
        <v>867</v>
      </c>
      <c r="H12" s="10">
        <f>SUM(H4:H11)</f>
        <v>746</v>
      </c>
      <c r="I12" s="10" t="s">
        <v>29</v>
      </c>
      <c r="J12" s="10">
        <f t="shared" ref="J12:AH12" si="2">SUM(J4:J11)</f>
        <v>492</v>
      </c>
      <c r="K12" s="10">
        <f t="shared" si="2"/>
        <v>348</v>
      </c>
      <c r="L12" s="10">
        <f t="shared" si="2"/>
        <v>158</v>
      </c>
      <c r="M12" s="10">
        <f t="shared" si="2"/>
        <v>31</v>
      </c>
      <c r="N12" s="10">
        <f t="shared" si="2"/>
        <v>385</v>
      </c>
      <c r="O12" s="10">
        <f t="shared" si="2"/>
        <v>338</v>
      </c>
      <c r="P12" s="10">
        <f t="shared" si="2"/>
        <v>363</v>
      </c>
      <c r="Q12" s="10">
        <f t="shared" si="2"/>
        <v>235</v>
      </c>
      <c r="R12" s="10">
        <f t="shared" si="2"/>
        <v>180</v>
      </c>
      <c r="S12" s="10">
        <f t="shared" si="2"/>
        <v>93</v>
      </c>
      <c r="T12" s="10">
        <f t="shared" si="2"/>
        <v>44</v>
      </c>
      <c r="U12" s="10">
        <f t="shared" si="2"/>
        <v>727</v>
      </c>
      <c r="V12" s="10">
        <f t="shared" si="2"/>
        <v>552</v>
      </c>
      <c r="W12" s="10">
        <f t="shared" si="2"/>
        <v>631</v>
      </c>
      <c r="X12" s="10">
        <f t="shared" si="2"/>
        <v>366</v>
      </c>
      <c r="Y12" s="10">
        <f t="shared" si="2"/>
        <v>257</v>
      </c>
      <c r="Z12" s="10">
        <f t="shared" si="2"/>
        <v>151</v>
      </c>
      <c r="AA12" s="10">
        <f t="shared" si="2"/>
        <v>0</v>
      </c>
      <c r="AB12" s="10">
        <f t="shared" si="2"/>
        <v>782</v>
      </c>
      <c r="AC12" s="10">
        <f t="shared" si="2"/>
        <v>718</v>
      </c>
      <c r="AD12" s="10">
        <f t="shared" si="2"/>
        <v>512</v>
      </c>
      <c r="AE12" s="10">
        <f t="shared" si="2"/>
        <v>1075</v>
      </c>
      <c r="AF12" s="10">
        <f t="shared" si="2"/>
        <v>1189</v>
      </c>
      <c r="AG12" s="10">
        <f t="shared" si="2"/>
        <v>293</v>
      </c>
      <c r="AH12" s="10">
        <f t="shared" si="2"/>
        <v>0</v>
      </c>
      <c r="AI12" s="116">
        <f>SUM(D12:AH12)</f>
        <v>12030</v>
      </c>
      <c r="AJ12" s="117"/>
      <c r="AK12" s="4"/>
    </row>
    <row r="13" spans="1:42" ht="13.5" thickBot="1" x14ac:dyDescent="0.3"/>
    <row r="14" spans="1:42" ht="22.5" customHeight="1" thickBot="1" x14ac:dyDescent="0.3">
      <c r="A14" s="96" t="s">
        <v>68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</row>
    <row r="15" spans="1:42" ht="57" customHeight="1" thickBot="1" x14ac:dyDescent="0.3">
      <c r="A15" s="97" t="s">
        <v>0</v>
      </c>
      <c r="B15" s="132" t="s">
        <v>17</v>
      </c>
      <c r="C15" s="133"/>
      <c r="D15" s="11">
        <v>45870</v>
      </c>
      <c r="E15" s="11">
        <v>45871</v>
      </c>
      <c r="F15" s="11">
        <v>45872</v>
      </c>
      <c r="G15" s="11">
        <v>45873</v>
      </c>
      <c r="H15" s="11">
        <v>45874</v>
      </c>
      <c r="I15" s="11">
        <v>45875</v>
      </c>
      <c r="J15" s="11">
        <v>45876</v>
      </c>
      <c r="K15" s="11">
        <v>45877</v>
      </c>
      <c r="L15" s="11">
        <v>45878</v>
      </c>
      <c r="M15" s="11">
        <v>45879</v>
      </c>
      <c r="N15" s="11">
        <v>45880</v>
      </c>
      <c r="O15" s="11">
        <v>45881</v>
      </c>
      <c r="P15" s="11">
        <v>45882</v>
      </c>
      <c r="Q15" s="11">
        <v>45883</v>
      </c>
      <c r="R15" s="11">
        <v>45884</v>
      </c>
      <c r="S15" s="11">
        <v>45885</v>
      </c>
      <c r="T15" s="11">
        <v>45886</v>
      </c>
      <c r="U15" s="11">
        <v>45887</v>
      </c>
      <c r="V15" s="11">
        <v>45888</v>
      </c>
      <c r="W15" s="11">
        <v>45889</v>
      </c>
      <c r="X15" s="11">
        <v>45890</v>
      </c>
      <c r="Y15" s="11">
        <v>45891</v>
      </c>
      <c r="Z15" s="11">
        <v>45892</v>
      </c>
      <c r="AA15" s="11">
        <v>45893</v>
      </c>
      <c r="AB15" s="11">
        <v>45894</v>
      </c>
      <c r="AC15" s="11">
        <v>45895</v>
      </c>
      <c r="AD15" s="11">
        <v>45896</v>
      </c>
      <c r="AE15" s="11">
        <v>45897</v>
      </c>
      <c r="AF15" s="11">
        <v>45898</v>
      </c>
      <c r="AG15" s="11">
        <v>45899</v>
      </c>
      <c r="AH15" s="11">
        <v>45900</v>
      </c>
      <c r="AI15" s="101" t="s">
        <v>28</v>
      </c>
      <c r="AJ15" s="103" t="s">
        <v>27</v>
      </c>
    </row>
    <row r="16" spans="1:42" ht="70.5" customHeight="1" thickBot="1" x14ac:dyDescent="0.3">
      <c r="A16" s="98"/>
      <c r="B16" s="146"/>
      <c r="C16" s="147"/>
      <c r="D16" s="16" t="s">
        <v>7</v>
      </c>
      <c r="E16" s="16" t="s">
        <v>8</v>
      </c>
      <c r="F16" s="16" t="s">
        <v>2</v>
      </c>
      <c r="G16" s="16" t="s">
        <v>3</v>
      </c>
      <c r="H16" s="16" t="s">
        <v>4</v>
      </c>
      <c r="I16" s="16" t="s">
        <v>5</v>
      </c>
      <c r="J16" s="16" t="s">
        <v>6</v>
      </c>
      <c r="K16" s="16" t="s">
        <v>7</v>
      </c>
      <c r="L16" s="16" t="s">
        <v>8</v>
      </c>
      <c r="M16" s="16" t="s">
        <v>2</v>
      </c>
      <c r="N16" s="16" t="s">
        <v>3</v>
      </c>
      <c r="O16" s="16" t="s">
        <v>4</v>
      </c>
      <c r="P16" s="16" t="s">
        <v>5</v>
      </c>
      <c r="Q16" s="16" t="s">
        <v>6</v>
      </c>
      <c r="R16" s="16" t="s">
        <v>7</v>
      </c>
      <c r="S16" s="16" t="s">
        <v>8</v>
      </c>
      <c r="T16" s="16" t="s">
        <v>2</v>
      </c>
      <c r="U16" s="16" t="s">
        <v>3</v>
      </c>
      <c r="V16" s="16" t="s">
        <v>4</v>
      </c>
      <c r="W16" s="16" t="s">
        <v>5</v>
      </c>
      <c r="X16" s="16" t="s">
        <v>6</v>
      </c>
      <c r="Y16" s="16" t="s">
        <v>7</v>
      </c>
      <c r="Z16" s="16" t="s">
        <v>8</v>
      </c>
      <c r="AA16" s="16" t="s">
        <v>2</v>
      </c>
      <c r="AB16" s="16" t="s">
        <v>3</v>
      </c>
      <c r="AC16" s="16" t="s">
        <v>4</v>
      </c>
      <c r="AD16" s="16" t="s">
        <v>5</v>
      </c>
      <c r="AE16" s="16" t="s">
        <v>6</v>
      </c>
      <c r="AF16" s="16" t="s">
        <v>7</v>
      </c>
      <c r="AG16" s="16" t="s">
        <v>8</v>
      </c>
      <c r="AH16" s="16" t="s">
        <v>2</v>
      </c>
      <c r="AI16" s="102"/>
      <c r="AJ16" s="104"/>
    </row>
    <row r="17" spans="1:36" x14ac:dyDescent="0.25">
      <c r="A17" s="89" t="s">
        <v>34</v>
      </c>
      <c r="B17" s="124" t="s">
        <v>18</v>
      </c>
      <c r="C17" s="29" t="s">
        <v>48</v>
      </c>
      <c r="D17" s="7" t="s">
        <v>9</v>
      </c>
      <c r="E17" s="7">
        <v>43</v>
      </c>
      <c r="F17" s="7">
        <v>5</v>
      </c>
      <c r="G17" s="7">
        <v>16</v>
      </c>
      <c r="H17" s="7">
        <v>5</v>
      </c>
      <c r="I17" s="7">
        <v>3</v>
      </c>
      <c r="J17" s="7">
        <v>25</v>
      </c>
      <c r="K17" s="7" t="s">
        <v>9</v>
      </c>
      <c r="L17" s="7" t="s">
        <v>9</v>
      </c>
      <c r="M17" s="7" t="s">
        <v>9</v>
      </c>
      <c r="N17" s="7">
        <v>1</v>
      </c>
      <c r="O17" s="7">
        <v>3</v>
      </c>
      <c r="P17" s="7">
        <v>3</v>
      </c>
      <c r="Q17" s="20">
        <v>8</v>
      </c>
      <c r="R17" s="7">
        <v>0</v>
      </c>
      <c r="S17" s="7">
        <v>7</v>
      </c>
      <c r="T17" s="7" t="s">
        <v>9</v>
      </c>
      <c r="U17" s="7">
        <v>10</v>
      </c>
      <c r="V17" s="7">
        <v>3</v>
      </c>
      <c r="W17" s="7">
        <v>4</v>
      </c>
      <c r="X17" s="7">
        <v>7</v>
      </c>
      <c r="Y17" s="7">
        <v>21</v>
      </c>
      <c r="Z17" s="7" t="s">
        <v>9</v>
      </c>
      <c r="AA17" s="7" t="s">
        <v>9</v>
      </c>
      <c r="AB17" s="7">
        <v>9</v>
      </c>
      <c r="AC17" s="7">
        <v>18</v>
      </c>
      <c r="AD17" s="7">
        <v>9</v>
      </c>
      <c r="AE17" s="7">
        <v>35</v>
      </c>
      <c r="AF17" s="7">
        <v>30</v>
      </c>
      <c r="AG17" s="7">
        <v>60</v>
      </c>
      <c r="AH17" s="7" t="s">
        <v>9</v>
      </c>
      <c r="AI17" s="45">
        <f t="shared" ref="AI17:AI22" si="3">SUM(D17:AH17)</f>
        <v>325</v>
      </c>
      <c r="AJ17" s="148">
        <f>SUM(AI17:AI22)</f>
        <v>745</v>
      </c>
    </row>
    <row r="18" spans="1:36" x14ac:dyDescent="0.25">
      <c r="A18" s="121"/>
      <c r="B18" s="125"/>
      <c r="C18" s="32" t="s">
        <v>50</v>
      </c>
      <c r="D18" s="14" t="s">
        <v>9</v>
      </c>
      <c r="E18" s="14">
        <v>7</v>
      </c>
      <c r="F18" s="14">
        <v>16</v>
      </c>
      <c r="G18" s="14">
        <v>10</v>
      </c>
      <c r="H18" s="14">
        <v>9</v>
      </c>
      <c r="I18" s="14">
        <v>9</v>
      </c>
      <c r="J18" s="14">
        <v>12</v>
      </c>
      <c r="K18" s="14" t="s">
        <v>9</v>
      </c>
      <c r="L18" s="14" t="s">
        <v>9</v>
      </c>
      <c r="M18" s="14" t="s">
        <v>9</v>
      </c>
      <c r="N18" s="14">
        <v>9</v>
      </c>
      <c r="O18" s="14">
        <v>7</v>
      </c>
      <c r="P18" s="14">
        <v>3</v>
      </c>
      <c r="Q18" s="22">
        <v>10</v>
      </c>
      <c r="R18" s="14">
        <v>28</v>
      </c>
      <c r="S18" s="14">
        <v>6</v>
      </c>
      <c r="T18" s="14" t="s">
        <v>9</v>
      </c>
      <c r="U18" s="14">
        <v>14</v>
      </c>
      <c r="V18" s="2">
        <v>14</v>
      </c>
      <c r="W18" s="14">
        <v>20</v>
      </c>
      <c r="X18" s="14">
        <v>5</v>
      </c>
      <c r="Y18" s="14">
        <v>11</v>
      </c>
      <c r="Z18" s="14" t="s">
        <v>9</v>
      </c>
      <c r="AA18" s="14" t="s">
        <v>9</v>
      </c>
      <c r="AB18" s="14">
        <v>13</v>
      </c>
      <c r="AC18" s="14">
        <v>9</v>
      </c>
      <c r="AD18" s="14">
        <v>17</v>
      </c>
      <c r="AE18" s="14">
        <v>10</v>
      </c>
      <c r="AF18" s="14">
        <v>6</v>
      </c>
      <c r="AG18" s="14">
        <v>6</v>
      </c>
      <c r="AH18" s="14" t="s">
        <v>9</v>
      </c>
      <c r="AI18" s="44">
        <f t="shared" si="3"/>
        <v>251</v>
      </c>
      <c r="AJ18" s="149"/>
    </row>
    <row r="19" spans="1:36" x14ac:dyDescent="0.25">
      <c r="A19" s="121"/>
      <c r="B19" s="125"/>
      <c r="C19" s="32" t="s">
        <v>49</v>
      </c>
      <c r="D19" s="14" t="s">
        <v>9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9</v>
      </c>
      <c r="L19" s="14" t="s">
        <v>9</v>
      </c>
      <c r="M19" s="14" t="s">
        <v>9</v>
      </c>
      <c r="N19" s="14">
        <v>0</v>
      </c>
      <c r="O19" s="14">
        <v>0</v>
      </c>
      <c r="P19" s="14">
        <v>0</v>
      </c>
      <c r="Q19" s="22">
        <v>0</v>
      </c>
      <c r="R19" s="14">
        <v>0</v>
      </c>
      <c r="S19" s="14">
        <v>5</v>
      </c>
      <c r="T19" s="14" t="s">
        <v>9</v>
      </c>
      <c r="U19" s="14">
        <v>0</v>
      </c>
      <c r="V19" s="3">
        <v>0</v>
      </c>
      <c r="W19" s="14">
        <v>0</v>
      </c>
      <c r="X19" s="14">
        <v>0</v>
      </c>
      <c r="Y19" s="14">
        <v>0</v>
      </c>
      <c r="Z19" s="14" t="s">
        <v>9</v>
      </c>
      <c r="AA19" s="14" t="s">
        <v>9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 t="s">
        <v>9</v>
      </c>
      <c r="AI19" s="44">
        <f t="shared" si="3"/>
        <v>5</v>
      </c>
      <c r="AJ19" s="149"/>
    </row>
    <row r="20" spans="1:36" x14ac:dyDescent="0.25">
      <c r="A20" s="121"/>
      <c r="B20" s="126"/>
      <c r="C20" s="32" t="s">
        <v>51</v>
      </c>
      <c r="D20" s="14" t="s">
        <v>9</v>
      </c>
      <c r="E20" s="14">
        <v>1</v>
      </c>
      <c r="F20" s="14">
        <v>1</v>
      </c>
      <c r="G20" s="14">
        <v>0</v>
      </c>
      <c r="H20" s="14">
        <v>1</v>
      </c>
      <c r="I20" s="14">
        <v>2</v>
      </c>
      <c r="J20" s="14">
        <v>0</v>
      </c>
      <c r="K20" s="14" t="s">
        <v>9</v>
      </c>
      <c r="L20" s="14" t="s">
        <v>9</v>
      </c>
      <c r="M20" s="14" t="s">
        <v>9</v>
      </c>
      <c r="N20" s="3">
        <v>2</v>
      </c>
      <c r="O20" s="14">
        <v>2</v>
      </c>
      <c r="P20" s="14">
        <v>2</v>
      </c>
      <c r="Q20" s="22">
        <v>2</v>
      </c>
      <c r="R20" s="14">
        <v>2</v>
      </c>
      <c r="S20" s="14">
        <v>0</v>
      </c>
      <c r="T20" s="14" t="s">
        <v>9</v>
      </c>
      <c r="U20" s="14">
        <v>0</v>
      </c>
      <c r="V20" s="14">
        <v>1</v>
      </c>
      <c r="W20" s="14">
        <v>0</v>
      </c>
      <c r="X20" s="14">
        <v>2</v>
      </c>
      <c r="Y20" s="14">
        <v>2</v>
      </c>
      <c r="Z20" s="14" t="s">
        <v>9</v>
      </c>
      <c r="AA20" s="14" t="s">
        <v>9</v>
      </c>
      <c r="AB20" s="14">
        <v>1</v>
      </c>
      <c r="AC20" s="14">
        <v>1</v>
      </c>
      <c r="AD20" s="14">
        <v>0</v>
      </c>
      <c r="AE20" s="14">
        <v>0</v>
      </c>
      <c r="AF20" s="14">
        <v>1</v>
      </c>
      <c r="AG20" s="14">
        <v>0</v>
      </c>
      <c r="AH20" s="14" t="s">
        <v>9</v>
      </c>
      <c r="AI20" s="44">
        <f t="shared" si="3"/>
        <v>23</v>
      </c>
      <c r="AJ20" s="149"/>
    </row>
    <row r="21" spans="1:36" x14ac:dyDescent="0.25">
      <c r="A21" s="90"/>
      <c r="B21" s="127" t="s">
        <v>45</v>
      </c>
      <c r="C21" s="30" t="s">
        <v>46</v>
      </c>
      <c r="D21" s="3" t="s">
        <v>9</v>
      </c>
      <c r="E21" s="3">
        <v>3</v>
      </c>
      <c r="F21" s="3">
        <v>10</v>
      </c>
      <c r="G21" s="3">
        <v>2</v>
      </c>
      <c r="H21" s="3">
        <v>5</v>
      </c>
      <c r="I21" s="3">
        <v>6</v>
      </c>
      <c r="J21" s="3">
        <v>0</v>
      </c>
      <c r="K21" s="3" t="s">
        <v>9</v>
      </c>
      <c r="L21" s="3" t="s">
        <v>9</v>
      </c>
      <c r="M21" s="3" t="s">
        <v>9</v>
      </c>
      <c r="N21" s="14">
        <v>6</v>
      </c>
      <c r="O21" s="3">
        <v>5</v>
      </c>
      <c r="P21" s="3">
        <v>4</v>
      </c>
      <c r="Q21" s="17">
        <v>6</v>
      </c>
      <c r="R21" s="3">
        <v>6</v>
      </c>
      <c r="S21" s="3">
        <v>16</v>
      </c>
      <c r="T21" s="3" t="s">
        <v>9</v>
      </c>
      <c r="U21" s="3">
        <v>2</v>
      </c>
      <c r="V21" s="3">
        <v>0</v>
      </c>
      <c r="W21" s="3">
        <v>8</v>
      </c>
      <c r="X21" s="3">
        <v>8</v>
      </c>
      <c r="Y21" s="3">
        <v>24</v>
      </c>
      <c r="Z21" s="3" t="s">
        <v>9</v>
      </c>
      <c r="AA21" s="3" t="s">
        <v>9</v>
      </c>
      <c r="AB21" s="3">
        <v>3</v>
      </c>
      <c r="AC21" s="3">
        <v>6</v>
      </c>
      <c r="AD21" s="3">
        <v>2</v>
      </c>
      <c r="AE21" s="3">
        <v>3</v>
      </c>
      <c r="AF21" s="3">
        <v>5</v>
      </c>
      <c r="AG21" s="3">
        <v>1</v>
      </c>
      <c r="AH21" s="3" t="s">
        <v>9</v>
      </c>
      <c r="AI21" s="44">
        <f t="shared" si="3"/>
        <v>131</v>
      </c>
      <c r="AJ21" s="75"/>
    </row>
    <row r="22" spans="1:36" ht="13.5" thickBot="1" x14ac:dyDescent="0.3">
      <c r="A22" s="91"/>
      <c r="B22" s="128"/>
      <c r="C22" s="31" t="s">
        <v>47</v>
      </c>
      <c r="D22" s="8" t="s">
        <v>9</v>
      </c>
      <c r="E22" s="8">
        <v>0</v>
      </c>
      <c r="F22" s="8">
        <v>0</v>
      </c>
      <c r="G22" s="8">
        <v>2</v>
      </c>
      <c r="H22" s="8">
        <v>0</v>
      </c>
      <c r="I22" s="8">
        <v>1</v>
      </c>
      <c r="J22" s="8">
        <v>0</v>
      </c>
      <c r="K22" s="8" t="s">
        <v>9</v>
      </c>
      <c r="L22" s="8" t="s">
        <v>9</v>
      </c>
      <c r="M22" s="8" t="s">
        <v>9</v>
      </c>
      <c r="N22" s="8">
        <v>0</v>
      </c>
      <c r="O22" s="8">
        <v>0</v>
      </c>
      <c r="P22" s="8">
        <v>0</v>
      </c>
      <c r="Q22" s="21">
        <v>2</v>
      </c>
      <c r="R22" s="8">
        <v>1</v>
      </c>
      <c r="S22" s="8">
        <v>0</v>
      </c>
      <c r="T22" s="8" t="s">
        <v>9</v>
      </c>
      <c r="U22" s="8">
        <v>0</v>
      </c>
      <c r="V22" s="8">
        <v>0</v>
      </c>
      <c r="W22" s="8">
        <v>2</v>
      </c>
      <c r="X22" s="8">
        <v>0</v>
      </c>
      <c r="Y22" s="8">
        <v>0</v>
      </c>
      <c r="Z22" s="8" t="s">
        <v>9</v>
      </c>
      <c r="AA22" s="8" t="s">
        <v>9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2</v>
      </c>
      <c r="AH22" s="8" t="s">
        <v>9</v>
      </c>
      <c r="AI22" s="46">
        <f t="shared" si="3"/>
        <v>10</v>
      </c>
      <c r="AJ22" s="150"/>
    </row>
    <row r="23" spans="1:36" x14ac:dyDescent="0.25">
      <c r="A23" s="106" t="s">
        <v>35</v>
      </c>
      <c r="B23" s="124" t="s">
        <v>18</v>
      </c>
      <c r="C23" s="29" t="s">
        <v>48</v>
      </c>
      <c r="D23" s="7">
        <v>9</v>
      </c>
      <c r="E23" s="7" t="s">
        <v>9</v>
      </c>
      <c r="F23" s="7" t="s">
        <v>9</v>
      </c>
      <c r="G23" s="7">
        <v>6</v>
      </c>
      <c r="H23" s="7">
        <v>0</v>
      </c>
      <c r="I23" s="7">
        <v>24</v>
      </c>
      <c r="J23" s="7">
        <v>11</v>
      </c>
      <c r="K23" s="7">
        <v>4</v>
      </c>
      <c r="L23" s="7" t="s">
        <v>9</v>
      </c>
      <c r="M23" s="7">
        <v>0</v>
      </c>
      <c r="N23" s="7">
        <v>21</v>
      </c>
      <c r="O23" s="7">
        <v>0</v>
      </c>
      <c r="P23" s="20">
        <v>6</v>
      </c>
      <c r="Q23" s="7" t="s">
        <v>9</v>
      </c>
      <c r="R23" s="7" t="s">
        <v>9</v>
      </c>
      <c r="S23" s="7" t="s">
        <v>9</v>
      </c>
      <c r="T23" s="7" t="s">
        <v>9</v>
      </c>
      <c r="U23" s="7">
        <v>6</v>
      </c>
      <c r="V23" s="7">
        <v>2</v>
      </c>
      <c r="W23" s="7">
        <v>26</v>
      </c>
      <c r="X23" s="7">
        <v>19</v>
      </c>
      <c r="Y23" s="7">
        <v>1</v>
      </c>
      <c r="Z23" s="7" t="s">
        <v>9</v>
      </c>
      <c r="AA23" s="7" t="s">
        <v>9</v>
      </c>
      <c r="AB23" s="7">
        <v>6</v>
      </c>
      <c r="AC23" s="7">
        <v>20</v>
      </c>
      <c r="AD23" s="7">
        <v>10</v>
      </c>
      <c r="AE23" s="7">
        <v>48</v>
      </c>
      <c r="AF23" s="7">
        <v>18</v>
      </c>
      <c r="AG23" s="7" t="s">
        <v>9</v>
      </c>
      <c r="AH23" s="7" t="s">
        <v>9</v>
      </c>
      <c r="AI23" s="27">
        <f t="shared" ref="AI23:AI28" si="4">SUM(D23:AH23)</f>
        <v>237</v>
      </c>
      <c r="AJ23" s="85">
        <f>SUM(AI23:AI28)</f>
        <v>691</v>
      </c>
    </row>
    <row r="24" spans="1:36" x14ac:dyDescent="0.25">
      <c r="A24" s="123"/>
      <c r="B24" s="125"/>
      <c r="C24" s="32" t="s">
        <v>50</v>
      </c>
      <c r="D24" s="14">
        <v>14</v>
      </c>
      <c r="E24" s="14" t="s">
        <v>9</v>
      </c>
      <c r="F24" s="14" t="s">
        <v>9</v>
      </c>
      <c r="G24" s="14">
        <v>20</v>
      </c>
      <c r="H24" s="14">
        <v>0</v>
      </c>
      <c r="I24" s="14">
        <v>5</v>
      </c>
      <c r="J24" s="14">
        <v>25</v>
      </c>
      <c r="K24" s="14">
        <v>17</v>
      </c>
      <c r="L24" s="14" t="s">
        <v>9</v>
      </c>
      <c r="M24" s="14">
        <v>19</v>
      </c>
      <c r="N24" s="14">
        <v>17</v>
      </c>
      <c r="O24" s="14">
        <v>15</v>
      </c>
      <c r="P24" s="22">
        <v>3</v>
      </c>
      <c r="Q24" s="14" t="s">
        <v>9</v>
      </c>
      <c r="R24" s="14" t="s">
        <v>9</v>
      </c>
      <c r="S24" s="14" t="s">
        <v>9</v>
      </c>
      <c r="T24" s="14" t="s">
        <v>9</v>
      </c>
      <c r="U24" s="14">
        <v>12</v>
      </c>
      <c r="V24" s="14">
        <v>12</v>
      </c>
      <c r="W24" s="14">
        <v>7</v>
      </c>
      <c r="X24" s="14">
        <v>17</v>
      </c>
      <c r="Y24" s="14">
        <v>12</v>
      </c>
      <c r="Z24" s="14" t="s">
        <v>9</v>
      </c>
      <c r="AA24" s="14" t="s">
        <v>9</v>
      </c>
      <c r="AB24" s="14">
        <v>4</v>
      </c>
      <c r="AC24" s="14">
        <v>7</v>
      </c>
      <c r="AD24" s="14">
        <v>7</v>
      </c>
      <c r="AE24" s="14">
        <v>4</v>
      </c>
      <c r="AF24" s="14">
        <v>9</v>
      </c>
      <c r="AG24" s="14" t="s">
        <v>9</v>
      </c>
      <c r="AH24" s="14" t="s">
        <v>9</v>
      </c>
      <c r="AI24" s="28">
        <f t="shared" si="4"/>
        <v>226</v>
      </c>
      <c r="AJ24" s="122"/>
    </row>
    <row r="25" spans="1:36" x14ac:dyDescent="0.25">
      <c r="A25" s="123"/>
      <c r="B25" s="125"/>
      <c r="C25" s="32" t="s">
        <v>49</v>
      </c>
      <c r="D25" s="14">
        <v>0</v>
      </c>
      <c r="E25" s="14" t="s">
        <v>9</v>
      </c>
      <c r="F25" s="14" t="s">
        <v>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 t="s">
        <v>9</v>
      </c>
      <c r="M25" s="14">
        <v>0</v>
      </c>
      <c r="N25" s="14">
        <v>0</v>
      </c>
      <c r="O25" s="14">
        <v>0</v>
      </c>
      <c r="P25" s="22">
        <v>0</v>
      </c>
      <c r="Q25" s="14" t="s">
        <v>9</v>
      </c>
      <c r="R25" s="14" t="s">
        <v>9</v>
      </c>
      <c r="S25" s="14" t="s">
        <v>9</v>
      </c>
      <c r="T25" s="14" t="s">
        <v>9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 t="s">
        <v>9</v>
      </c>
      <c r="AA25" s="14" t="s">
        <v>9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 t="s">
        <v>9</v>
      </c>
      <c r="AH25" s="14" t="s">
        <v>9</v>
      </c>
      <c r="AI25" s="28">
        <f t="shared" si="4"/>
        <v>0</v>
      </c>
      <c r="AJ25" s="122"/>
    </row>
    <row r="26" spans="1:36" x14ac:dyDescent="0.25">
      <c r="A26" s="123"/>
      <c r="B26" s="126"/>
      <c r="C26" s="32" t="s">
        <v>51</v>
      </c>
      <c r="D26" s="14">
        <v>3</v>
      </c>
      <c r="E26" s="14" t="s">
        <v>9</v>
      </c>
      <c r="F26" s="14" t="s">
        <v>9</v>
      </c>
      <c r="G26" s="14">
        <v>6</v>
      </c>
      <c r="H26" s="14">
        <v>0</v>
      </c>
      <c r="I26" s="14">
        <v>1</v>
      </c>
      <c r="J26" s="14">
        <v>4</v>
      </c>
      <c r="K26" s="14">
        <v>1</v>
      </c>
      <c r="L26" s="14" t="s">
        <v>9</v>
      </c>
      <c r="M26" s="14">
        <v>5</v>
      </c>
      <c r="N26" s="14">
        <v>2</v>
      </c>
      <c r="O26" s="14">
        <v>6</v>
      </c>
      <c r="P26" s="22">
        <v>0</v>
      </c>
      <c r="Q26" s="14" t="s">
        <v>9</v>
      </c>
      <c r="R26" s="14" t="s">
        <v>9</v>
      </c>
      <c r="S26" s="14" t="s">
        <v>9</v>
      </c>
      <c r="T26" s="14" t="s">
        <v>9</v>
      </c>
      <c r="U26" s="14">
        <v>2</v>
      </c>
      <c r="V26" s="14">
        <v>0</v>
      </c>
      <c r="W26" s="14">
        <v>0</v>
      </c>
      <c r="X26" s="14">
        <v>2</v>
      </c>
      <c r="Y26" s="14">
        <v>2</v>
      </c>
      <c r="Z26" s="14" t="s">
        <v>9</v>
      </c>
      <c r="AA26" s="14" t="s">
        <v>9</v>
      </c>
      <c r="AB26" s="14">
        <v>0</v>
      </c>
      <c r="AC26" s="14">
        <v>0</v>
      </c>
      <c r="AD26" s="14">
        <v>0</v>
      </c>
      <c r="AE26" s="14">
        <v>0</v>
      </c>
      <c r="AF26" s="14">
        <v>2</v>
      </c>
      <c r="AG26" s="14" t="s">
        <v>9</v>
      </c>
      <c r="AH26" s="14" t="s">
        <v>9</v>
      </c>
      <c r="AI26" s="28">
        <f t="shared" si="4"/>
        <v>36</v>
      </c>
      <c r="AJ26" s="122"/>
    </row>
    <row r="27" spans="1:36" x14ac:dyDescent="0.25">
      <c r="A27" s="72"/>
      <c r="B27" s="127" t="s">
        <v>45</v>
      </c>
      <c r="C27" s="30" t="s">
        <v>46</v>
      </c>
      <c r="D27" s="3">
        <v>10</v>
      </c>
      <c r="E27" s="3" t="s">
        <v>9</v>
      </c>
      <c r="F27" s="3" t="s">
        <v>9</v>
      </c>
      <c r="G27" s="3">
        <v>10</v>
      </c>
      <c r="H27" s="3">
        <v>5</v>
      </c>
      <c r="I27" s="3">
        <v>8</v>
      </c>
      <c r="J27" s="3">
        <v>13</v>
      </c>
      <c r="K27" s="3">
        <v>3</v>
      </c>
      <c r="L27" s="3" t="s">
        <v>9</v>
      </c>
      <c r="M27" s="3">
        <v>11</v>
      </c>
      <c r="N27" s="3">
        <v>7</v>
      </c>
      <c r="O27" s="3">
        <v>14</v>
      </c>
      <c r="P27" s="17">
        <v>13</v>
      </c>
      <c r="Q27" s="3" t="s">
        <v>9</v>
      </c>
      <c r="R27" s="3" t="s">
        <v>9</v>
      </c>
      <c r="S27" s="3" t="s">
        <v>9</v>
      </c>
      <c r="T27" s="3" t="s">
        <v>9</v>
      </c>
      <c r="U27" s="3">
        <v>8</v>
      </c>
      <c r="V27" s="3">
        <v>1</v>
      </c>
      <c r="W27" s="3">
        <v>23</v>
      </c>
      <c r="X27" s="3">
        <v>8</v>
      </c>
      <c r="Y27" s="3">
        <v>7</v>
      </c>
      <c r="Z27" s="3" t="s">
        <v>9</v>
      </c>
      <c r="AA27" s="3" t="s">
        <v>9</v>
      </c>
      <c r="AB27" s="3">
        <v>6</v>
      </c>
      <c r="AC27" s="3">
        <v>26</v>
      </c>
      <c r="AD27" s="3">
        <v>6</v>
      </c>
      <c r="AE27" s="3">
        <v>7</v>
      </c>
      <c r="AF27" s="3">
        <v>3</v>
      </c>
      <c r="AG27" s="3" t="s">
        <v>9</v>
      </c>
      <c r="AH27" s="3" t="s">
        <v>9</v>
      </c>
      <c r="AI27" s="28">
        <f t="shared" si="4"/>
        <v>189</v>
      </c>
      <c r="AJ27" s="86"/>
    </row>
    <row r="28" spans="1:36" ht="13.5" thickBot="1" x14ac:dyDescent="0.3">
      <c r="A28" s="107"/>
      <c r="B28" s="128"/>
      <c r="C28" s="31" t="s">
        <v>47</v>
      </c>
      <c r="D28" s="8">
        <v>1</v>
      </c>
      <c r="E28" s="8" t="s">
        <v>9</v>
      </c>
      <c r="F28" s="8" t="s">
        <v>9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 t="s">
        <v>9</v>
      </c>
      <c r="M28" s="8">
        <v>0</v>
      </c>
      <c r="N28" s="8">
        <v>0</v>
      </c>
      <c r="O28" s="3">
        <v>0</v>
      </c>
      <c r="P28" s="21">
        <v>0</v>
      </c>
      <c r="Q28" s="8" t="s">
        <v>9</v>
      </c>
      <c r="R28" s="8" t="s">
        <v>9</v>
      </c>
      <c r="S28" s="8" t="s">
        <v>9</v>
      </c>
      <c r="T28" s="8" t="s">
        <v>9</v>
      </c>
      <c r="U28" s="8">
        <v>0</v>
      </c>
      <c r="V28" s="3">
        <v>1</v>
      </c>
      <c r="W28" s="3">
        <v>0</v>
      </c>
      <c r="X28" s="8">
        <v>0</v>
      </c>
      <c r="Y28" s="8">
        <v>0</v>
      </c>
      <c r="Z28" s="8" t="s">
        <v>9</v>
      </c>
      <c r="AA28" s="8" t="s">
        <v>9</v>
      </c>
      <c r="AB28" s="8">
        <v>1</v>
      </c>
      <c r="AC28" s="3">
        <v>0</v>
      </c>
      <c r="AD28" s="3">
        <v>0</v>
      </c>
      <c r="AE28" s="8">
        <v>0</v>
      </c>
      <c r="AF28" s="8">
        <v>0</v>
      </c>
      <c r="AG28" s="8" t="s">
        <v>9</v>
      </c>
      <c r="AH28" s="8" t="s">
        <v>9</v>
      </c>
      <c r="AI28" s="26">
        <f t="shared" si="4"/>
        <v>3</v>
      </c>
      <c r="AJ28" s="87"/>
    </row>
    <row r="29" spans="1:36" x14ac:dyDescent="0.25">
      <c r="A29" s="124" t="s">
        <v>52</v>
      </c>
      <c r="B29" s="124" t="s">
        <v>18</v>
      </c>
      <c r="C29" s="29" t="s">
        <v>48</v>
      </c>
      <c r="D29" s="7">
        <v>29</v>
      </c>
      <c r="E29" s="7" t="s">
        <v>9</v>
      </c>
      <c r="F29" s="7" t="s">
        <v>9</v>
      </c>
      <c r="G29" s="7">
        <v>10</v>
      </c>
      <c r="H29" s="7">
        <v>10</v>
      </c>
      <c r="I29" s="7">
        <v>10</v>
      </c>
      <c r="J29" s="7">
        <v>16</v>
      </c>
      <c r="K29" s="7">
        <v>13</v>
      </c>
      <c r="L29" s="7">
        <v>1</v>
      </c>
      <c r="M29" s="7" t="s">
        <v>9</v>
      </c>
      <c r="N29" s="7">
        <v>15</v>
      </c>
      <c r="O29" s="7">
        <v>0</v>
      </c>
      <c r="P29" s="7">
        <v>0</v>
      </c>
      <c r="Q29" s="7">
        <v>7</v>
      </c>
      <c r="R29" s="7" t="s">
        <v>9</v>
      </c>
      <c r="S29" s="7" t="s">
        <v>9</v>
      </c>
      <c r="T29" s="7" t="s">
        <v>9</v>
      </c>
      <c r="U29" s="7">
        <v>6</v>
      </c>
      <c r="V29" s="7">
        <v>3</v>
      </c>
      <c r="W29" s="7">
        <v>11</v>
      </c>
      <c r="X29" s="7">
        <v>7</v>
      </c>
      <c r="Y29" s="7">
        <v>16</v>
      </c>
      <c r="Z29" s="7">
        <v>2</v>
      </c>
      <c r="AA29" s="7" t="s">
        <v>9</v>
      </c>
      <c r="AB29" s="7">
        <v>11</v>
      </c>
      <c r="AC29" s="7">
        <v>20</v>
      </c>
      <c r="AD29" s="7">
        <v>14</v>
      </c>
      <c r="AE29" s="7">
        <v>26</v>
      </c>
      <c r="AF29" s="7">
        <v>14</v>
      </c>
      <c r="AG29" s="7" t="s">
        <v>9</v>
      </c>
      <c r="AH29" s="7" t="s">
        <v>9</v>
      </c>
      <c r="AI29" s="27">
        <f t="shared" ref="AI29:AI34" si="5">SUM(D29:AH29)</f>
        <v>241</v>
      </c>
      <c r="AJ29" s="85">
        <f>SUM(AI29:AI34)</f>
        <v>553</v>
      </c>
    </row>
    <row r="30" spans="1:36" ht="15" customHeight="1" x14ac:dyDescent="0.25">
      <c r="A30" s="125"/>
      <c r="B30" s="125"/>
      <c r="C30" s="32" t="s">
        <v>50</v>
      </c>
      <c r="D30" s="14">
        <v>6</v>
      </c>
      <c r="E30" s="14" t="s">
        <v>9</v>
      </c>
      <c r="F30" s="14" t="s">
        <v>9</v>
      </c>
      <c r="G30" s="14">
        <v>0</v>
      </c>
      <c r="H30" s="14">
        <v>7</v>
      </c>
      <c r="I30" s="14">
        <v>9</v>
      </c>
      <c r="J30" s="14">
        <v>7</v>
      </c>
      <c r="K30" s="14">
        <v>6</v>
      </c>
      <c r="L30" s="14">
        <v>7</v>
      </c>
      <c r="M30" s="14" t="s">
        <v>9</v>
      </c>
      <c r="N30" s="14">
        <v>10</v>
      </c>
      <c r="O30" s="14">
        <v>12</v>
      </c>
      <c r="P30" s="14">
        <v>4</v>
      </c>
      <c r="Q30" s="14">
        <v>0</v>
      </c>
      <c r="R30" s="14" t="s">
        <v>9</v>
      </c>
      <c r="S30" s="14" t="s">
        <v>9</v>
      </c>
      <c r="T30" s="14" t="s">
        <v>9</v>
      </c>
      <c r="U30" s="14">
        <v>7</v>
      </c>
      <c r="V30" s="14">
        <v>5</v>
      </c>
      <c r="W30" s="14">
        <v>7</v>
      </c>
      <c r="X30" s="14">
        <v>4</v>
      </c>
      <c r="Y30" s="14">
        <v>6</v>
      </c>
      <c r="Z30" s="14">
        <v>4</v>
      </c>
      <c r="AA30" s="14" t="s">
        <v>9</v>
      </c>
      <c r="AB30" s="14">
        <v>3</v>
      </c>
      <c r="AC30" s="14">
        <v>3</v>
      </c>
      <c r="AD30" s="14">
        <v>5</v>
      </c>
      <c r="AE30" s="14">
        <v>6</v>
      </c>
      <c r="AF30" s="14">
        <v>8</v>
      </c>
      <c r="AG30" s="14" t="s">
        <v>9</v>
      </c>
      <c r="AH30" s="14" t="s">
        <v>9</v>
      </c>
      <c r="AI30" s="28">
        <f t="shared" si="5"/>
        <v>126</v>
      </c>
      <c r="AJ30" s="122"/>
    </row>
    <row r="31" spans="1:36" ht="15" customHeight="1" x14ac:dyDescent="0.25">
      <c r="A31" s="125"/>
      <c r="B31" s="125"/>
      <c r="C31" s="32" t="s">
        <v>49</v>
      </c>
      <c r="D31" s="14">
        <v>0</v>
      </c>
      <c r="E31" s="14" t="s">
        <v>9</v>
      </c>
      <c r="F31" s="14" t="s">
        <v>9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 t="s">
        <v>9</v>
      </c>
      <c r="N31" s="14">
        <v>0</v>
      </c>
      <c r="O31" s="14">
        <v>0</v>
      </c>
      <c r="P31" s="14">
        <v>0</v>
      </c>
      <c r="Q31" s="14">
        <v>0</v>
      </c>
      <c r="R31" s="14" t="s">
        <v>9</v>
      </c>
      <c r="S31" s="14" t="s">
        <v>9</v>
      </c>
      <c r="T31" s="14" t="s">
        <v>9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 t="s">
        <v>9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 t="s">
        <v>9</v>
      </c>
      <c r="AH31" s="14" t="s">
        <v>9</v>
      </c>
      <c r="AI31" s="28">
        <f t="shared" si="5"/>
        <v>0</v>
      </c>
      <c r="AJ31" s="122"/>
    </row>
    <row r="32" spans="1:36" ht="15" customHeight="1" x14ac:dyDescent="0.25">
      <c r="A32" s="125"/>
      <c r="B32" s="126"/>
      <c r="C32" s="32" t="s">
        <v>51</v>
      </c>
      <c r="D32" s="14">
        <v>1</v>
      </c>
      <c r="E32" s="14" t="s">
        <v>9</v>
      </c>
      <c r="F32" s="14" t="s">
        <v>9</v>
      </c>
      <c r="G32" s="14">
        <v>0</v>
      </c>
      <c r="H32" s="14">
        <v>0</v>
      </c>
      <c r="I32" s="14">
        <v>2</v>
      </c>
      <c r="J32" s="14">
        <v>3</v>
      </c>
      <c r="K32" s="14">
        <v>0</v>
      </c>
      <c r="L32" s="14">
        <v>1</v>
      </c>
      <c r="M32" s="14" t="s">
        <v>9</v>
      </c>
      <c r="N32" s="14">
        <v>1</v>
      </c>
      <c r="O32" s="14">
        <v>1</v>
      </c>
      <c r="P32" s="14">
        <v>2</v>
      </c>
      <c r="Q32" s="14">
        <v>0</v>
      </c>
      <c r="R32" s="14" t="s">
        <v>9</v>
      </c>
      <c r="S32" s="14" t="s">
        <v>9</v>
      </c>
      <c r="T32" s="14" t="s">
        <v>9</v>
      </c>
      <c r="U32" s="14">
        <v>0</v>
      </c>
      <c r="V32" s="14">
        <v>5</v>
      </c>
      <c r="W32" s="14">
        <v>2</v>
      </c>
      <c r="X32" s="14">
        <v>0</v>
      </c>
      <c r="Y32" s="14">
        <v>6</v>
      </c>
      <c r="Z32" s="14">
        <v>2</v>
      </c>
      <c r="AA32" s="14" t="s">
        <v>9</v>
      </c>
      <c r="AB32" s="14">
        <v>1</v>
      </c>
      <c r="AC32" s="14">
        <v>1</v>
      </c>
      <c r="AD32" s="14">
        <v>3</v>
      </c>
      <c r="AE32" s="14">
        <v>0</v>
      </c>
      <c r="AF32" s="14">
        <v>4</v>
      </c>
      <c r="AG32" s="14" t="s">
        <v>9</v>
      </c>
      <c r="AH32" s="14" t="s">
        <v>9</v>
      </c>
      <c r="AI32" s="28">
        <f t="shared" si="5"/>
        <v>35</v>
      </c>
      <c r="AJ32" s="122"/>
    </row>
    <row r="33" spans="1:36" x14ac:dyDescent="0.25">
      <c r="A33" s="125"/>
      <c r="B33" s="127" t="s">
        <v>45</v>
      </c>
      <c r="C33" s="30" t="s">
        <v>46</v>
      </c>
      <c r="D33" s="3">
        <v>3</v>
      </c>
      <c r="E33" s="3" t="s">
        <v>9</v>
      </c>
      <c r="F33" s="3" t="s">
        <v>9</v>
      </c>
      <c r="G33" s="3">
        <v>1</v>
      </c>
      <c r="H33" s="3">
        <v>12</v>
      </c>
      <c r="I33" s="3">
        <v>10</v>
      </c>
      <c r="J33" s="3">
        <v>5</v>
      </c>
      <c r="K33" s="3">
        <v>0</v>
      </c>
      <c r="L33" s="3">
        <v>4</v>
      </c>
      <c r="M33" s="3" t="s">
        <v>9</v>
      </c>
      <c r="N33" s="3">
        <v>3</v>
      </c>
      <c r="O33" s="3">
        <v>4</v>
      </c>
      <c r="P33" s="3">
        <v>4</v>
      </c>
      <c r="Q33" s="3">
        <v>8</v>
      </c>
      <c r="R33" s="3" t="s">
        <v>9</v>
      </c>
      <c r="S33" s="3" t="s">
        <v>9</v>
      </c>
      <c r="T33" s="3" t="s">
        <v>9</v>
      </c>
      <c r="U33" s="3">
        <v>2</v>
      </c>
      <c r="V33" s="3">
        <v>8</v>
      </c>
      <c r="W33" s="3">
        <v>15</v>
      </c>
      <c r="X33" s="3">
        <v>6</v>
      </c>
      <c r="Y33" s="3">
        <v>19</v>
      </c>
      <c r="Z33" s="3">
        <v>4</v>
      </c>
      <c r="AA33" s="3" t="s">
        <v>9</v>
      </c>
      <c r="AB33" s="3">
        <v>4</v>
      </c>
      <c r="AC33" s="3">
        <v>14</v>
      </c>
      <c r="AD33" s="3">
        <v>6</v>
      </c>
      <c r="AE33" s="3">
        <v>5</v>
      </c>
      <c r="AF33" s="3">
        <v>4</v>
      </c>
      <c r="AG33" s="3" t="s">
        <v>9</v>
      </c>
      <c r="AH33" s="3" t="s">
        <v>9</v>
      </c>
      <c r="AI33" s="28">
        <f t="shared" si="5"/>
        <v>141</v>
      </c>
      <c r="AJ33" s="86"/>
    </row>
    <row r="34" spans="1:36" ht="15.75" customHeight="1" thickBot="1" x14ac:dyDescent="0.3">
      <c r="A34" s="128"/>
      <c r="B34" s="128"/>
      <c r="C34" s="31" t="s">
        <v>47</v>
      </c>
      <c r="D34" s="8">
        <v>0</v>
      </c>
      <c r="E34" s="8" t="s">
        <v>9</v>
      </c>
      <c r="F34" s="8" t="s">
        <v>9</v>
      </c>
      <c r="G34" s="8">
        <v>0</v>
      </c>
      <c r="H34" s="8">
        <v>1</v>
      </c>
      <c r="I34" s="8">
        <v>1</v>
      </c>
      <c r="J34" s="8">
        <v>0</v>
      </c>
      <c r="K34" s="8">
        <v>0</v>
      </c>
      <c r="L34" s="8">
        <v>1</v>
      </c>
      <c r="M34" s="8" t="s">
        <v>9</v>
      </c>
      <c r="N34" s="8">
        <v>0</v>
      </c>
      <c r="O34" s="8">
        <v>0</v>
      </c>
      <c r="P34" s="8">
        <v>0</v>
      </c>
      <c r="Q34" s="8">
        <v>1</v>
      </c>
      <c r="R34" s="8" t="s">
        <v>9</v>
      </c>
      <c r="S34" s="8" t="s">
        <v>9</v>
      </c>
      <c r="T34" s="8" t="s">
        <v>9</v>
      </c>
      <c r="U34" s="8">
        <v>1</v>
      </c>
      <c r="V34" s="3">
        <v>1</v>
      </c>
      <c r="W34" s="8">
        <v>0</v>
      </c>
      <c r="X34" s="8">
        <v>2</v>
      </c>
      <c r="Y34" s="8">
        <v>0</v>
      </c>
      <c r="Z34" s="8">
        <v>0</v>
      </c>
      <c r="AA34" s="8" t="s">
        <v>9</v>
      </c>
      <c r="AB34" s="3">
        <v>0</v>
      </c>
      <c r="AC34" s="8">
        <v>0</v>
      </c>
      <c r="AD34" s="3">
        <v>2</v>
      </c>
      <c r="AE34" s="8">
        <v>0</v>
      </c>
      <c r="AF34" s="8">
        <v>0</v>
      </c>
      <c r="AG34" s="8" t="s">
        <v>9</v>
      </c>
      <c r="AH34" s="8" t="s">
        <v>9</v>
      </c>
      <c r="AI34" s="26">
        <f t="shared" si="5"/>
        <v>10</v>
      </c>
      <c r="AJ34" s="87"/>
    </row>
    <row r="35" spans="1:36" x14ac:dyDescent="0.25">
      <c r="A35" s="89" t="s">
        <v>36</v>
      </c>
      <c r="B35" s="136" t="s">
        <v>18</v>
      </c>
      <c r="C35" s="29" t="s">
        <v>48</v>
      </c>
      <c r="D35" s="7">
        <v>15</v>
      </c>
      <c r="E35" s="7">
        <v>0</v>
      </c>
      <c r="F35" s="7" t="s">
        <v>9</v>
      </c>
      <c r="G35" s="7">
        <v>2</v>
      </c>
      <c r="H35" s="7">
        <v>6</v>
      </c>
      <c r="I35" s="7">
        <v>0</v>
      </c>
      <c r="J35" s="7">
        <v>1</v>
      </c>
      <c r="K35" s="7">
        <v>26</v>
      </c>
      <c r="L35" s="7" t="s">
        <v>9</v>
      </c>
      <c r="M35" s="7" t="s">
        <v>9</v>
      </c>
      <c r="N35" s="7">
        <v>1</v>
      </c>
      <c r="O35" s="7">
        <v>3</v>
      </c>
      <c r="P35" s="7">
        <v>2</v>
      </c>
      <c r="Q35" s="7">
        <v>0</v>
      </c>
      <c r="R35" s="7">
        <v>0</v>
      </c>
      <c r="S35" s="7">
        <v>8</v>
      </c>
      <c r="T35" s="7" t="s">
        <v>9</v>
      </c>
      <c r="U35" s="7">
        <v>0</v>
      </c>
      <c r="V35" s="7">
        <v>0</v>
      </c>
      <c r="W35" s="7">
        <v>0</v>
      </c>
      <c r="X35" s="7">
        <v>1</v>
      </c>
      <c r="Y35" s="7">
        <v>2</v>
      </c>
      <c r="Z35" s="7">
        <v>1</v>
      </c>
      <c r="AA35" s="7" t="s">
        <v>9</v>
      </c>
      <c r="AB35" s="7">
        <v>1</v>
      </c>
      <c r="AC35" s="7">
        <v>5</v>
      </c>
      <c r="AD35" s="7" t="s">
        <v>30</v>
      </c>
      <c r="AE35" s="7">
        <v>12</v>
      </c>
      <c r="AF35" s="7">
        <v>0</v>
      </c>
      <c r="AG35" s="7">
        <v>2</v>
      </c>
      <c r="AH35" s="7" t="s">
        <v>9</v>
      </c>
      <c r="AI35" s="27">
        <f t="shared" ref="AI35:AI40" si="6">SUM(D35:AH35)</f>
        <v>88</v>
      </c>
      <c r="AJ35" s="85">
        <f>SUM(AI35:AI40)</f>
        <v>557</v>
      </c>
    </row>
    <row r="36" spans="1:36" x14ac:dyDescent="0.25">
      <c r="A36" s="121"/>
      <c r="B36" s="137"/>
      <c r="C36" s="32" t="s">
        <v>50</v>
      </c>
      <c r="D36" s="14">
        <v>1</v>
      </c>
      <c r="E36" s="14">
        <v>0</v>
      </c>
      <c r="F36" s="14" t="s">
        <v>9</v>
      </c>
      <c r="G36" s="14">
        <v>0</v>
      </c>
      <c r="H36" s="14">
        <v>2</v>
      </c>
      <c r="I36" s="14">
        <v>0</v>
      </c>
      <c r="J36" s="14">
        <v>0</v>
      </c>
      <c r="K36" s="14">
        <v>1</v>
      </c>
      <c r="L36" s="14" t="s">
        <v>9</v>
      </c>
      <c r="M36" s="14" t="s">
        <v>9</v>
      </c>
      <c r="N36" s="14">
        <v>0</v>
      </c>
      <c r="O36" s="14">
        <v>1</v>
      </c>
      <c r="P36" s="14">
        <v>0</v>
      </c>
      <c r="Q36" s="14">
        <v>1</v>
      </c>
      <c r="R36" s="14">
        <v>0</v>
      </c>
      <c r="S36" s="14">
        <v>0</v>
      </c>
      <c r="T36" s="14" t="s">
        <v>9</v>
      </c>
      <c r="U36" s="14">
        <v>0</v>
      </c>
      <c r="V36" s="14">
        <v>1</v>
      </c>
      <c r="W36" s="14">
        <v>1</v>
      </c>
      <c r="X36" s="14">
        <v>1</v>
      </c>
      <c r="Y36" s="14">
        <v>1</v>
      </c>
      <c r="Z36" s="14">
        <v>0</v>
      </c>
      <c r="AA36" s="14" t="s">
        <v>9</v>
      </c>
      <c r="AB36" s="14">
        <v>13</v>
      </c>
      <c r="AC36" s="14">
        <v>0</v>
      </c>
      <c r="AD36" s="14" t="s">
        <v>30</v>
      </c>
      <c r="AE36" s="14">
        <v>2</v>
      </c>
      <c r="AF36" s="14">
        <v>0</v>
      </c>
      <c r="AG36" s="14">
        <v>1</v>
      </c>
      <c r="AH36" s="14" t="s">
        <v>9</v>
      </c>
      <c r="AI36" s="28">
        <f t="shared" si="6"/>
        <v>26</v>
      </c>
      <c r="AJ36" s="122"/>
    </row>
    <row r="37" spans="1:36" x14ac:dyDescent="0.25">
      <c r="A37" s="121"/>
      <c r="B37" s="137"/>
      <c r="C37" s="32" t="s">
        <v>49</v>
      </c>
      <c r="D37" s="14">
        <v>7</v>
      </c>
      <c r="E37" s="14">
        <v>3</v>
      </c>
      <c r="F37" s="14" t="s">
        <v>9</v>
      </c>
      <c r="G37" s="14">
        <v>9</v>
      </c>
      <c r="H37" s="14">
        <v>8</v>
      </c>
      <c r="I37" s="14">
        <v>6</v>
      </c>
      <c r="J37" s="14">
        <v>7</v>
      </c>
      <c r="K37" s="14">
        <v>18</v>
      </c>
      <c r="L37" s="14" t="s">
        <v>9</v>
      </c>
      <c r="M37" s="14" t="s">
        <v>9</v>
      </c>
      <c r="N37" s="14">
        <v>8</v>
      </c>
      <c r="O37" s="14">
        <v>3</v>
      </c>
      <c r="P37" s="14">
        <v>1</v>
      </c>
      <c r="Q37" s="14">
        <v>3</v>
      </c>
      <c r="R37" s="14">
        <v>7</v>
      </c>
      <c r="S37" s="14">
        <v>2</v>
      </c>
      <c r="T37" s="14" t="s">
        <v>9</v>
      </c>
      <c r="U37" s="14">
        <v>6</v>
      </c>
      <c r="V37" s="14">
        <v>7</v>
      </c>
      <c r="W37" s="14">
        <v>3</v>
      </c>
      <c r="X37" s="14">
        <v>3</v>
      </c>
      <c r="Y37" s="14">
        <v>9</v>
      </c>
      <c r="Z37" s="14">
        <v>15</v>
      </c>
      <c r="AA37" s="14" t="s">
        <v>9</v>
      </c>
      <c r="AB37" s="14">
        <v>0</v>
      </c>
      <c r="AC37" s="14">
        <v>6</v>
      </c>
      <c r="AD37" s="14" t="s">
        <v>30</v>
      </c>
      <c r="AE37" s="14">
        <v>26</v>
      </c>
      <c r="AF37" s="14">
        <v>6</v>
      </c>
      <c r="AG37" s="14">
        <v>2</v>
      </c>
      <c r="AH37" s="14" t="s">
        <v>9</v>
      </c>
      <c r="AI37" s="28">
        <f t="shared" si="6"/>
        <v>165</v>
      </c>
      <c r="AJ37" s="122"/>
    </row>
    <row r="38" spans="1:36" x14ac:dyDescent="0.25">
      <c r="A38" s="121"/>
      <c r="B38" s="138"/>
      <c r="C38" s="32" t="s">
        <v>51</v>
      </c>
      <c r="D38" s="14">
        <v>3</v>
      </c>
      <c r="E38" s="14">
        <v>3</v>
      </c>
      <c r="F38" s="14" t="s">
        <v>9</v>
      </c>
      <c r="G38" s="14">
        <v>2</v>
      </c>
      <c r="H38" s="14">
        <v>6</v>
      </c>
      <c r="I38" s="14">
        <v>12</v>
      </c>
      <c r="J38" s="14">
        <v>3</v>
      </c>
      <c r="K38" s="14">
        <v>3</v>
      </c>
      <c r="L38" s="14" t="s">
        <v>9</v>
      </c>
      <c r="M38" s="14" t="s">
        <v>9</v>
      </c>
      <c r="N38" s="14">
        <v>3</v>
      </c>
      <c r="O38" s="14">
        <v>3</v>
      </c>
      <c r="P38" s="14">
        <v>2</v>
      </c>
      <c r="Q38" s="14">
        <v>4</v>
      </c>
      <c r="R38" s="14">
        <v>6</v>
      </c>
      <c r="S38" s="2">
        <v>5</v>
      </c>
      <c r="T38" s="14" t="s">
        <v>9</v>
      </c>
      <c r="U38" s="14">
        <v>1</v>
      </c>
      <c r="V38" s="14">
        <v>7</v>
      </c>
      <c r="W38" s="14">
        <v>7</v>
      </c>
      <c r="X38" s="14">
        <v>2</v>
      </c>
      <c r="Y38" s="14">
        <v>3</v>
      </c>
      <c r="Z38" s="14">
        <v>4</v>
      </c>
      <c r="AA38" s="14" t="s">
        <v>9</v>
      </c>
      <c r="AB38" s="14">
        <v>2</v>
      </c>
      <c r="AC38" s="14">
        <v>5</v>
      </c>
      <c r="AD38" s="14" t="s">
        <v>30</v>
      </c>
      <c r="AE38" s="14">
        <v>6</v>
      </c>
      <c r="AF38" s="14">
        <v>7</v>
      </c>
      <c r="AG38" s="14">
        <v>1</v>
      </c>
      <c r="AH38" s="14" t="s">
        <v>9</v>
      </c>
      <c r="AI38" s="28">
        <f t="shared" si="6"/>
        <v>100</v>
      </c>
      <c r="AJ38" s="122"/>
    </row>
    <row r="39" spans="1:36" x14ac:dyDescent="0.25">
      <c r="A39" s="90"/>
      <c r="B39" s="139" t="s">
        <v>45</v>
      </c>
      <c r="C39" s="30" t="s">
        <v>46</v>
      </c>
      <c r="D39" s="3">
        <v>19</v>
      </c>
      <c r="E39" s="3">
        <v>1</v>
      </c>
      <c r="F39" s="3" t="s">
        <v>9</v>
      </c>
      <c r="G39" s="3">
        <v>4</v>
      </c>
      <c r="H39" s="3">
        <v>7</v>
      </c>
      <c r="I39" s="3">
        <v>11</v>
      </c>
      <c r="J39" s="3">
        <v>5</v>
      </c>
      <c r="K39" s="3">
        <v>23</v>
      </c>
      <c r="L39" s="3" t="s">
        <v>9</v>
      </c>
      <c r="M39" s="3" t="s">
        <v>9</v>
      </c>
      <c r="N39" s="3">
        <v>6</v>
      </c>
      <c r="O39" s="3">
        <v>6</v>
      </c>
      <c r="P39" s="3">
        <v>7</v>
      </c>
      <c r="Q39" s="3">
        <v>5</v>
      </c>
      <c r="R39" s="3">
        <v>11</v>
      </c>
      <c r="S39" s="3">
        <v>13</v>
      </c>
      <c r="T39" s="3" t="s">
        <v>9</v>
      </c>
      <c r="U39" s="3">
        <v>3</v>
      </c>
      <c r="V39" s="3">
        <v>6</v>
      </c>
      <c r="W39" s="3">
        <v>6</v>
      </c>
      <c r="X39" s="3">
        <v>4</v>
      </c>
      <c r="Y39" s="3">
        <v>6</v>
      </c>
      <c r="Z39" s="3">
        <v>1</v>
      </c>
      <c r="AA39" s="3" t="s">
        <v>9</v>
      </c>
      <c r="AB39" s="3">
        <v>5</v>
      </c>
      <c r="AC39" s="3">
        <v>2</v>
      </c>
      <c r="AD39" s="3" t="s">
        <v>30</v>
      </c>
      <c r="AE39" s="3">
        <v>19</v>
      </c>
      <c r="AF39" s="3">
        <v>4</v>
      </c>
      <c r="AG39" s="3">
        <v>3</v>
      </c>
      <c r="AH39" s="3" t="s">
        <v>9</v>
      </c>
      <c r="AI39" s="28">
        <f t="shared" si="6"/>
        <v>177</v>
      </c>
      <c r="AJ39" s="86"/>
    </row>
    <row r="40" spans="1:36" ht="13.5" thickBot="1" x14ac:dyDescent="0.3">
      <c r="A40" s="91"/>
      <c r="B40" s="140"/>
      <c r="C40" s="31" t="s">
        <v>47</v>
      </c>
      <c r="D40" s="8">
        <v>0</v>
      </c>
      <c r="E40" s="8">
        <v>0</v>
      </c>
      <c r="F40" s="8" t="s">
        <v>9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 t="s">
        <v>9</v>
      </c>
      <c r="M40" s="8" t="s">
        <v>9</v>
      </c>
      <c r="N40" s="8">
        <v>0</v>
      </c>
      <c r="O40" s="3">
        <v>0</v>
      </c>
      <c r="P40" s="8">
        <v>0</v>
      </c>
      <c r="Q40" s="8">
        <v>0</v>
      </c>
      <c r="R40" s="8">
        <v>1</v>
      </c>
      <c r="S40" s="8">
        <v>0</v>
      </c>
      <c r="T40" s="8" t="s">
        <v>9</v>
      </c>
      <c r="U40" s="8">
        <v>0</v>
      </c>
      <c r="V40" s="8">
        <v>0</v>
      </c>
      <c r="W40" s="3">
        <v>0</v>
      </c>
      <c r="X40" s="8">
        <v>0</v>
      </c>
      <c r="Y40" s="8">
        <v>0</v>
      </c>
      <c r="Z40" s="8">
        <v>0</v>
      </c>
      <c r="AA40" s="8" t="s">
        <v>9</v>
      </c>
      <c r="AB40" s="8">
        <v>0</v>
      </c>
      <c r="AC40" s="8">
        <v>0</v>
      </c>
      <c r="AD40" s="3" t="s">
        <v>30</v>
      </c>
      <c r="AE40" s="8">
        <v>0</v>
      </c>
      <c r="AF40" s="8">
        <v>0</v>
      </c>
      <c r="AG40" s="8">
        <v>0</v>
      </c>
      <c r="AH40" s="8" t="s">
        <v>9</v>
      </c>
      <c r="AI40" s="26">
        <f t="shared" si="6"/>
        <v>1</v>
      </c>
      <c r="AJ40" s="87"/>
    </row>
    <row r="41" spans="1:36" x14ac:dyDescent="0.25">
      <c r="A41" s="89" t="s">
        <v>22</v>
      </c>
      <c r="B41" s="124" t="s">
        <v>18</v>
      </c>
      <c r="C41" s="29" t="s">
        <v>48</v>
      </c>
      <c r="D41" s="7">
        <v>1</v>
      </c>
      <c r="E41" s="7" t="s">
        <v>9</v>
      </c>
      <c r="F41" s="7" t="s">
        <v>9</v>
      </c>
      <c r="G41" s="7">
        <v>5</v>
      </c>
      <c r="H41" s="7">
        <v>8</v>
      </c>
      <c r="I41" s="7">
        <v>8</v>
      </c>
      <c r="J41" s="7">
        <v>9</v>
      </c>
      <c r="K41" s="7">
        <v>10</v>
      </c>
      <c r="L41" s="7">
        <v>2</v>
      </c>
      <c r="M41" s="7" t="s">
        <v>9</v>
      </c>
      <c r="N41" s="7">
        <v>13</v>
      </c>
      <c r="O41" s="7">
        <v>0</v>
      </c>
      <c r="P41" s="7">
        <v>3</v>
      </c>
      <c r="Q41" s="20">
        <v>7</v>
      </c>
      <c r="R41" s="7">
        <v>0</v>
      </c>
      <c r="S41" s="7" t="s">
        <v>9</v>
      </c>
      <c r="T41" s="7">
        <v>10</v>
      </c>
      <c r="U41" s="7">
        <v>9</v>
      </c>
      <c r="V41" s="7">
        <v>2</v>
      </c>
      <c r="W41" s="7">
        <v>27</v>
      </c>
      <c r="X41" s="7" t="s">
        <v>9</v>
      </c>
      <c r="Y41" s="7">
        <v>2</v>
      </c>
      <c r="Z41" s="7">
        <v>1</v>
      </c>
      <c r="AA41" s="14" t="s">
        <v>9</v>
      </c>
      <c r="AB41" s="7">
        <v>12</v>
      </c>
      <c r="AC41" s="7">
        <v>24</v>
      </c>
      <c r="AD41" s="7">
        <v>19</v>
      </c>
      <c r="AE41" s="7">
        <v>28</v>
      </c>
      <c r="AF41" s="7">
        <v>13</v>
      </c>
      <c r="AG41" s="7" t="s">
        <v>9</v>
      </c>
      <c r="AH41" s="14" t="s">
        <v>9</v>
      </c>
      <c r="AI41" s="27">
        <f t="shared" ref="AI41:AI46" si="7">SUM(D41:AH41)</f>
        <v>213</v>
      </c>
      <c r="AJ41" s="85">
        <f>SUM(AI41:AI46)</f>
        <v>542</v>
      </c>
    </row>
    <row r="42" spans="1:36" x14ac:dyDescent="0.25">
      <c r="A42" s="121"/>
      <c r="B42" s="125"/>
      <c r="C42" s="32" t="s">
        <v>50</v>
      </c>
      <c r="D42" s="14">
        <v>10</v>
      </c>
      <c r="E42" s="14" t="s">
        <v>9</v>
      </c>
      <c r="F42" s="14" t="s">
        <v>9</v>
      </c>
      <c r="G42" s="14">
        <v>6</v>
      </c>
      <c r="H42" s="14">
        <v>2</v>
      </c>
      <c r="I42" s="14">
        <v>3</v>
      </c>
      <c r="J42" s="14">
        <v>16</v>
      </c>
      <c r="K42" s="14">
        <v>12</v>
      </c>
      <c r="L42" s="14">
        <v>5</v>
      </c>
      <c r="M42" s="14" t="s">
        <v>9</v>
      </c>
      <c r="N42" s="14">
        <v>13</v>
      </c>
      <c r="O42" s="14">
        <v>4</v>
      </c>
      <c r="P42" s="14">
        <v>3</v>
      </c>
      <c r="Q42" s="22">
        <v>4</v>
      </c>
      <c r="R42" s="14">
        <v>0</v>
      </c>
      <c r="S42" s="14" t="s">
        <v>9</v>
      </c>
      <c r="T42" s="14">
        <v>37</v>
      </c>
      <c r="U42" s="14">
        <v>12</v>
      </c>
      <c r="V42" s="14">
        <v>4</v>
      </c>
      <c r="W42" s="14">
        <v>14</v>
      </c>
      <c r="X42" s="14" t="s">
        <v>9</v>
      </c>
      <c r="Y42" s="14">
        <v>6</v>
      </c>
      <c r="Z42" s="14">
        <v>5</v>
      </c>
      <c r="AA42" s="3" t="s">
        <v>9</v>
      </c>
      <c r="AB42" s="14">
        <v>9</v>
      </c>
      <c r="AC42" s="14">
        <v>7</v>
      </c>
      <c r="AD42" s="14">
        <v>4</v>
      </c>
      <c r="AE42" s="14">
        <v>2</v>
      </c>
      <c r="AF42" s="14">
        <v>3</v>
      </c>
      <c r="AG42" s="14" t="s">
        <v>9</v>
      </c>
      <c r="AH42" s="14" t="s">
        <v>9</v>
      </c>
      <c r="AI42" s="28">
        <f t="shared" si="7"/>
        <v>181</v>
      </c>
      <c r="AJ42" s="122"/>
    </row>
    <row r="43" spans="1:36" x14ac:dyDescent="0.25">
      <c r="A43" s="121"/>
      <c r="B43" s="125"/>
      <c r="C43" s="32" t="s">
        <v>49</v>
      </c>
      <c r="D43" s="14">
        <v>0</v>
      </c>
      <c r="E43" s="14" t="s">
        <v>9</v>
      </c>
      <c r="F43" s="14" t="s">
        <v>9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 t="s">
        <v>9</v>
      </c>
      <c r="N43" s="14">
        <v>0</v>
      </c>
      <c r="O43" s="14">
        <v>0</v>
      </c>
      <c r="P43" s="14">
        <v>0</v>
      </c>
      <c r="Q43" s="22">
        <v>0</v>
      </c>
      <c r="R43" s="14">
        <v>0</v>
      </c>
      <c r="S43" s="14" t="s">
        <v>9</v>
      </c>
      <c r="T43" s="14">
        <v>0</v>
      </c>
      <c r="U43" s="14">
        <v>0</v>
      </c>
      <c r="V43" s="14">
        <v>0</v>
      </c>
      <c r="W43" s="14">
        <v>0</v>
      </c>
      <c r="X43" s="14" t="s">
        <v>9</v>
      </c>
      <c r="Y43" s="14">
        <v>0</v>
      </c>
      <c r="Z43" s="14">
        <v>0</v>
      </c>
      <c r="AA43" s="14" t="s">
        <v>9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 t="s">
        <v>9</v>
      </c>
      <c r="AH43" s="14" t="s">
        <v>9</v>
      </c>
      <c r="AI43" s="28">
        <f t="shared" si="7"/>
        <v>0</v>
      </c>
      <c r="AJ43" s="122"/>
    </row>
    <row r="44" spans="1:36" x14ac:dyDescent="0.25">
      <c r="A44" s="121"/>
      <c r="B44" s="126"/>
      <c r="C44" s="32" t="s">
        <v>51</v>
      </c>
      <c r="D44" s="14">
        <v>3</v>
      </c>
      <c r="E44" s="14" t="s">
        <v>9</v>
      </c>
      <c r="F44" s="14" t="s">
        <v>9</v>
      </c>
      <c r="G44" s="14">
        <v>1</v>
      </c>
      <c r="H44" s="14">
        <v>0</v>
      </c>
      <c r="I44" s="14">
        <v>0</v>
      </c>
      <c r="J44" s="14">
        <v>1</v>
      </c>
      <c r="K44" s="14">
        <v>0</v>
      </c>
      <c r="L44" s="14">
        <v>3</v>
      </c>
      <c r="M44" s="14" t="s">
        <v>9</v>
      </c>
      <c r="N44" s="14">
        <v>0</v>
      </c>
      <c r="O44" s="14">
        <v>2</v>
      </c>
      <c r="P44" s="14">
        <v>2</v>
      </c>
      <c r="Q44" s="22">
        <v>0</v>
      </c>
      <c r="R44" s="14">
        <v>0</v>
      </c>
      <c r="S44" s="14" t="s">
        <v>9</v>
      </c>
      <c r="T44" s="14">
        <v>4</v>
      </c>
      <c r="U44" s="14">
        <v>0</v>
      </c>
      <c r="V44" s="14">
        <v>1</v>
      </c>
      <c r="W44" s="14">
        <v>2</v>
      </c>
      <c r="X44" s="14" t="s">
        <v>9</v>
      </c>
      <c r="Y44" s="14">
        <v>2</v>
      </c>
      <c r="Z44" s="14">
        <v>2</v>
      </c>
      <c r="AA44" s="14" t="s">
        <v>9</v>
      </c>
      <c r="AB44" s="14">
        <v>0</v>
      </c>
      <c r="AC44" s="14">
        <v>0</v>
      </c>
      <c r="AD44" s="14">
        <v>1</v>
      </c>
      <c r="AE44" s="14">
        <v>2</v>
      </c>
      <c r="AF44" s="14">
        <v>0</v>
      </c>
      <c r="AG44" s="14" t="s">
        <v>9</v>
      </c>
      <c r="AH44" s="14" t="s">
        <v>9</v>
      </c>
      <c r="AI44" s="28">
        <f t="shared" si="7"/>
        <v>26</v>
      </c>
      <c r="AJ44" s="122"/>
    </row>
    <row r="45" spans="1:36" x14ac:dyDescent="0.25">
      <c r="A45" s="90"/>
      <c r="B45" s="127" t="s">
        <v>45</v>
      </c>
      <c r="C45" s="30" t="s">
        <v>46</v>
      </c>
      <c r="D45" s="3">
        <v>8</v>
      </c>
      <c r="E45" s="3" t="s">
        <v>9</v>
      </c>
      <c r="F45" s="3" t="s">
        <v>9</v>
      </c>
      <c r="G45" s="3">
        <v>7</v>
      </c>
      <c r="H45" s="3">
        <v>3</v>
      </c>
      <c r="I45" s="3">
        <v>1</v>
      </c>
      <c r="J45" s="3">
        <v>2</v>
      </c>
      <c r="K45" s="3">
        <v>1</v>
      </c>
      <c r="L45" s="3">
        <v>5</v>
      </c>
      <c r="M45" s="3" t="s">
        <v>9</v>
      </c>
      <c r="N45" s="3">
        <v>0</v>
      </c>
      <c r="O45" s="3">
        <v>6</v>
      </c>
      <c r="P45" s="3">
        <v>7</v>
      </c>
      <c r="Q45" s="17">
        <v>1</v>
      </c>
      <c r="R45" s="3">
        <v>3</v>
      </c>
      <c r="S45" s="3" t="s">
        <v>9</v>
      </c>
      <c r="T45" s="3">
        <v>22</v>
      </c>
      <c r="U45" s="3">
        <v>8</v>
      </c>
      <c r="V45" s="3">
        <v>5</v>
      </c>
      <c r="W45" s="3">
        <v>6</v>
      </c>
      <c r="X45" s="3" t="s">
        <v>9</v>
      </c>
      <c r="Y45" s="3">
        <v>8</v>
      </c>
      <c r="Z45" s="3">
        <v>6</v>
      </c>
      <c r="AA45" s="3" t="s">
        <v>9</v>
      </c>
      <c r="AB45" s="3">
        <v>3</v>
      </c>
      <c r="AC45" s="3">
        <v>5</v>
      </c>
      <c r="AD45" s="3">
        <v>4</v>
      </c>
      <c r="AE45" s="3">
        <v>5</v>
      </c>
      <c r="AF45" s="3">
        <v>3</v>
      </c>
      <c r="AG45" s="3" t="s">
        <v>9</v>
      </c>
      <c r="AH45" s="3" t="s">
        <v>9</v>
      </c>
      <c r="AI45" s="28">
        <f t="shared" si="7"/>
        <v>119</v>
      </c>
      <c r="AJ45" s="86"/>
    </row>
    <row r="46" spans="1:36" ht="13.5" thickBot="1" x14ac:dyDescent="0.3">
      <c r="A46" s="91"/>
      <c r="B46" s="128"/>
      <c r="C46" s="31" t="s">
        <v>47</v>
      </c>
      <c r="D46" s="8">
        <v>1</v>
      </c>
      <c r="E46" s="8" t="s">
        <v>9</v>
      </c>
      <c r="F46" s="8" t="s">
        <v>9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 t="s">
        <v>9</v>
      </c>
      <c r="N46" s="8">
        <v>0</v>
      </c>
      <c r="O46" s="8">
        <v>0</v>
      </c>
      <c r="P46" s="8">
        <v>0</v>
      </c>
      <c r="Q46" s="21">
        <v>0</v>
      </c>
      <c r="R46" s="8">
        <v>0</v>
      </c>
      <c r="S46" s="8" t="s">
        <v>9</v>
      </c>
      <c r="T46" s="8">
        <v>0</v>
      </c>
      <c r="U46" s="8">
        <v>0</v>
      </c>
      <c r="V46" s="8">
        <v>0</v>
      </c>
      <c r="W46" s="3">
        <v>0</v>
      </c>
      <c r="X46" s="8" t="s">
        <v>9</v>
      </c>
      <c r="Y46" s="8">
        <v>1</v>
      </c>
      <c r="Z46" s="8">
        <v>1</v>
      </c>
      <c r="AA46" s="8" t="s">
        <v>9</v>
      </c>
      <c r="AB46" s="8">
        <v>0</v>
      </c>
      <c r="AC46" s="3">
        <v>0</v>
      </c>
      <c r="AD46" s="8">
        <v>0</v>
      </c>
      <c r="AE46" s="3">
        <v>0</v>
      </c>
      <c r="AF46" s="8">
        <v>0</v>
      </c>
      <c r="AG46" s="8" t="s">
        <v>9</v>
      </c>
      <c r="AH46" s="8" t="s">
        <v>9</v>
      </c>
      <c r="AI46" s="26">
        <f t="shared" si="7"/>
        <v>3</v>
      </c>
      <c r="AJ46" s="87"/>
    </row>
    <row r="47" spans="1:36" x14ac:dyDescent="0.25">
      <c r="A47" s="129" t="s">
        <v>65</v>
      </c>
      <c r="B47" s="124" t="s">
        <v>18</v>
      </c>
      <c r="C47" s="29" t="s">
        <v>48</v>
      </c>
      <c r="D47" s="7">
        <v>5</v>
      </c>
      <c r="E47" s="7" t="s">
        <v>9</v>
      </c>
      <c r="F47" s="7" t="s">
        <v>9</v>
      </c>
      <c r="G47" s="7">
        <v>7</v>
      </c>
      <c r="H47" s="7">
        <v>2</v>
      </c>
      <c r="I47" s="7">
        <v>7</v>
      </c>
      <c r="J47" s="7">
        <v>12</v>
      </c>
      <c r="K47" s="7">
        <v>13</v>
      </c>
      <c r="L47" s="7">
        <v>0</v>
      </c>
      <c r="M47" s="7" t="s">
        <v>9</v>
      </c>
      <c r="N47" s="7">
        <v>21</v>
      </c>
      <c r="O47" s="7">
        <v>1</v>
      </c>
      <c r="P47" s="7">
        <v>0</v>
      </c>
      <c r="Q47" s="20">
        <v>5</v>
      </c>
      <c r="R47" s="7" t="s">
        <v>9</v>
      </c>
      <c r="S47" s="7" t="s">
        <v>9</v>
      </c>
      <c r="T47" s="7" t="s">
        <v>9</v>
      </c>
      <c r="U47" s="7">
        <v>3</v>
      </c>
      <c r="V47" s="7">
        <v>2</v>
      </c>
      <c r="W47" s="7">
        <v>3</v>
      </c>
      <c r="X47" s="7">
        <v>13</v>
      </c>
      <c r="Y47" s="7">
        <v>12</v>
      </c>
      <c r="Z47" s="7">
        <v>2</v>
      </c>
      <c r="AA47" s="7" t="s">
        <v>9</v>
      </c>
      <c r="AB47" s="7">
        <v>10</v>
      </c>
      <c r="AC47" s="7">
        <v>5</v>
      </c>
      <c r="AD47" s="7">
        <v>5</v>
      </c>
      <c r="AE47" s="7">
        <v>39</v>
      </c>
      <c r="AF47" s="7">
        <v>11</v>
      </c>
      <c r="AG47" s="7" t="s">
        <v>9</v>
      </c>
      <c r="AH47" s="7" t="s">
        <v>9</v>
      </c>
      <c r="AI47" s="7">
        <f t="shared" ref="AI47:AI52" si="8">SUM(D47:AH47)</f>
        <v>178</v>
      </c>
      <c r="AJ47" s="85">
        <f>SUM(AI47:AI52)</f>
        <v>498</v>
      </c>
    </row>
    <row r="48" spans="1:36" x14ac:dyDescent="0.25">
      <c r="A48" s="126"/>
      <c r="B48" s="125"/>
      <c r="C48" s="32" t="s">
        <v>50</v>
      </c>
      <c r="D48" s="14">
        <v>6</v>
      </c>
      <c r="E48" s="3" t="s">
        <v>9</v>
      </c>
      <c r="F48" s="3" t="s">
        <v>9</v>
      </c>
      <c r="G48" s="3">
        <v>1</v>
      </c>
      <c r="H48" s="14">
        <v>14</v>
      </c>
      <c r="I48" s="14">
        <v>22</v>
      </c>
      <c r="J48" s="14">
        <v>5</v>
      </c>
      <c r="K48" s="14">
        <v>5</v>
      </c>
      <c r="L48" s="3">
        <v>10</v>
      </c>
      <c r="M48" s="3" t="s">
        <v>9</v>
      </c>
      <c r="N48" s="3">
        <v>6</v>
      </c>
      <c r="O48" s="3">
        <v>6</v>
      </c>
      <c r="P48" s="3">
        <v>8</v>
      </c>
      <c r="Q48" s="22">
        <v>7</v>
      </c>
      <c r="R48" s="14" t="s">
        <v>9</v>
      </c>
      <c r="S48" s="14" t="s">
        <v>9</v>
      </c>
      <c r="T48" s="14" t="s">
        <v>9</v>
      </c>
      <c r="U48" s="3">
        <v>5</v>
      </c>
      <c r="V48" s="14">
        <v>5</v>
      </c>
      <c r="W48" s="14">
        <v>3</v>
      </c>
      <c r="X48" s="14">
        <v>7</v>
      </c>
      <c r="Y48" s="14">
        <v>4</v>
      </c>
      <c r="Z48" s="3">
        <v>4</v>
      </c>
      <c r="AA48" s="3" t="s">
        <v>9</v>
      </c>
      <c r="AB48" s="3">
        <v>1</v>
      </c>
      <c r="AC48" s="3">
        <v>9</v>
      </c>
      <c r="AD48" s="14">
        <v>11</v>
      </c>
      <c r="AE48" s="14">
        <v>5</v>
      </c>
      <c r="AF48" s="14">
        <v>0</v>
      </c>
      <c r="AG48" s="14" t="s">
        <v>9</v>
      </c>
      <c r="AH48" s="3" t="s">
        <v>9</v>
      </c>
      <c r="AI48" s="3">
        <f t="shared" si="8"/>
        <v>144</v>
      </c>
      <c r="AJ48" s="122"/>
    </row>
    <row r="49" spans="1:36" x14ac:dyDescent="0.25">
      <c r="A49" s="126"/>
      <c r="B49" s="125"/>
      <c r="C49" s="32" t="s">
        <v>49</v>
      </c>
      <c r="D49" s="14">
        <v>0</v>
      </c>
      <c r="E49" s="3" t="s">
        <v>9</v>
      </c>
      <c r="F49" s="3" t="s">
        <v>9</v>
      </c>
      <c r="G49" s="3">
        <v>0</v>
      </c>
      <c r="H49" s="14">
        <v>0</v>
      </c>
      <c r="I49" s="14">
        <v>0</v>
      </c>
      <c r="J49" s="14">
        <v>0</v>
      </c>
      <c r="K49" s="14">
        <v>0</v>
      </c>
      <c r="L49" s="3">
        <v>0</v>
      </c>
      <c r="M49" s="3" t="s">
        <v>9</v>
      </c>
      <c r="N49" s="3">
        <v>0</v>
      </c>
      <c r="O49" s="3">
        <v>0</v>
      </c>
      <c r="P49" s="3">
        <v>0</v>
      </c>
      <c r="Q49" s="22">
        <v>0</v>
      </c>
      <c r="R49" s="14" t="s">
        <v>9</v>
      </c>
      <c r="S49" s="14" t="s">
        <v>9</v>
      </c>
      <c r="T49" s="14" t="s">
        <v>9</v>
      </c>
      <c r="U49" s="3">
        <v>0</v>
      </c>
      <c r="V49" s="14">
        <v>0</v>
      </c>
      <c r="W49" s="14">
        <v>0</v>
      </c>
      <c r="X49" s="14">
        <v>0</v>
      </c>
      <c r="Y49" s="14">
        <v>0</v>
      </c>
      <c r="Z49" s="3">
        <v>0</v>
      </c>
      <c r="AA49" s="3" t="s">
        <v>9</v>
      </c>
      <c r="AB49" s="3">
        <v>0</v>
      </c>
      <c r="AC49" s="3">
        <v>0</v>
      </c>
      <c r="AD49" s="14">
        <v>0</v>
      </c>
      <c r="AE49" s="14">
        <v>0</v>
      </c>
      <c r="AF49" s="14">
        <v>0</v>
      </c>
      <c r="AG49" s="14" t="s">
        <v>9</v>
      </c>
      <c r="AH49" s="3" t="s">
        <v>9</v>
      </c>
      <c r="AI49" s="3">
        <f t="shared" si="8"/>
        <v>0</v>
      </c>
      <c r="AJ49" s="122"/>
    </row>
    <row r="50" spans="1:36" x14ac:dyDescent="0.25">
      <c r="A50" s="126"/>
      <c r="B50" s="126"/>
      <c r="C50" s="32" t="s">
        <v>51</v>
      </c>
      <c r="D50" s="14">
        <v>1</v>
      </c>
      <c r="E50" s="3" t="s">
        <v>9</v>
      </c>
      <c r="F50" s="3" t="s">
        <v>9</v>
      </c>
      <c r="G50" s="3">
        <v>1</v>
      </c>
      <c r="H50" s="14">
        <v>2</v>
      </c>
      <c r="I50" s="14">
        <v>1</v>
      </c>
      <c r="J50" s="14">
        <v>6</v>
      </c>
      <c r="K50" s="14">
        <v>1</v>
      </c>
      <c r="L50" s="3">
        <v>0</v>
      </c>
      <c r="M50" s="3" t="s">
        <v>9</v>
      </c>
      <c r="N50" s="3">
        <v>1</v>
      </c>
      <c r="O50" s="3">
        <v>1</v>
      </c>
      <c r="P50" s="3">
        <v>1</v>
      </c>
      <c r="Q50" s="22">
        <v>1</v>
      </c>
      <c r="R50" s="14" t="s">
        <v>9</v>
      </c>
      <c r="S50" s="14" t="s">
        <v>9</v>
      </c>
      <c r="T50" s="14" t="s">
        <v>9</v>
      </c>
      <c r="U50" s="3">
        <v>4</v>
      </c>
      <c r="V50" s="14">
        <v>0</v>
      </c>
      <c r="W50" s="14">
        <v>1</v>
      </c>
      <c r="X50" s="14">
        <v>3</v>
      </c>
      <c r="Y50" s="14">
        <v>3</v>
      </c>
      <c r="Z50" s="3">
        <v>1</v>
      </c>
      <c r="AA50" s="3" t="s">
        <v>9</v>
      </c>
      <c r="AB50" s="3">
        <v>0</v>
      </c>
      <c r="AC50" s="3">
        <v>0</v>
      </c>
      <c r="AD50" s="14">
        <v>2</v>
      </c>
      <c r="AE50" s="14">
        <v>4</v>
      </c>
      <c r="AF50" s="14">
        <v>3</v>
      </c>
      <c r="AG50" s="14" t="s">
        <v>9</v>
      </c>
      <c r="AH50" s="3" t="s">
        <v>9</v>
      </c>
      <c r="AI50" s="3">
        <f t="shared" si="8"/>
        <v>37</v>
      </c>
      <c r="AJ50" s="122"/>
    </row>
    <row r="51" spans="1:36" x14ac:dyDescent="0.25">
      <c r="A51" s="130"/>
      <c r="B51" s="127" t="s">
        <v>45</v>
      </c>
      <c r="C51" s="30" t="s">
        <v>46</v>
      </c>
      <c r="D51" s="3">
        <v>8</v>
      </c>
      <c r="E51" s="3" t="s">
        <v>9</v>
      </c>
      <c r="F51" s="3" t="s">
        <v>9</v>
      </c>
      <c r="G51" s="3">
        <v>12</v>
      </c>
      <c r="H51" s="3">
        <v>8</v>
      </c>
      <c r="I51" s="3">
        <v>6</v>
      </c>
      <c r="J51" s="3">
        <v>11</v>
      </c>
      <c r="K51" s="3">
        <v>2</v>
      </c>
      <c r="L51" s="3">
        <v>5</v>
      </c>
      <c r="M51" s="3" t="s">
        <v>9</v>
      </c>
      <c r="N51" s="3">
        <v>5</v>
      </c>
      <c r="O51" s="3">
        <v>4</v>
      </c>
      <c r="P51" s="3">
        <v>1</v>
      </c>
      <c r="Q51" s="17">
        <v>3</v>
      </c>
      <c r="R51" s="3" t="s">
        <v>9</v>
      </c>
      <c r="S51" s="3" t="s">
        <v>9</v>
      </c>
      <c r="T51" s="3" t="s">
        <v>9</v>
      </c>
      <c r="U51" s="3">
        <v>6</v>
      </c>
      <c r="V51" s="3">
        <v>6</v>
      </c>
      <c r="W51" s="3">
        <v>6</v>
      </c>
      <c r="X51" s="3">
        <v>14</v>
      </c>
      <c r="Y51" s="3">
        <v>3</v>
      </c>
      <c r="Z51" s="3">
        <v>3</v>
      </c>
      <c r="AA51" s="3" t="s">
        <v>9</v>
      </c>
      <c r="AB51" s="3">
        <v>3</v>
      </c>
      <c r="AC51" s="3">
        <v>12</v>
      </c>
      <c r="AD51" s="3">
        <v>5</v>
      </c>
      <c r="AE51" s="3">
        <v>7</v>
      </c>
      <c r="AF51" s="3">
        <v>3</v>
      </c>
      <c r="AG51" s="3" t="s">
        <v>9</v>
      </c>
      <c r="AH51" s="3" t="s">
        <v>9</v>
      </c>
      <c r="AI51" s="3">
        <f t="shared" si="8"/>
        <v>133</v>
      </c>
      <c r="AJ51" s="86"/>
    </row>
    <row r="52" spans="1:36" ht="13.5" thickBot="1" x14ac:dyDescent="0.3">
      <c r="A52" s="131"/>
      <c r="B52" s="128"/>
      <c r="C52" s="31" t="s">
        <v>47</v>
      </c>
      <c r="D52" s="8">
        <v>0</v>
      </c>
      <c r="E52" s="8" t="s">
        <v>9</v>
      </c>
      <c r="F52" s="8" t="s">
        <v>9</v>
      </c>
      <c r="G52" s="8">
        <v>0</v>
      </c>
      <c r="H52" s="8">
        <v>0</v>
      </c>
      <c r="I52" s="8">
        <v>1</v>
      </c>
      <c r="J52" s="8">
        <v>0</v>
      </c>
      <c r="K52" s="8">
        <v>0</v>
      </c>
      <c r="L52" s="8">
        <v>0</v>
      </c>
      <c r="M52" s="8" t="s">
        <v>9</v>
      </c>
      <c r="N52" s="8">
        <v>3</v>
      </c>
      <c r="O52" s="8">
        <v>0</v>
      </c>
      <c r="P52" s="8">
        <v>0</v>
      </c>
      <c r="Q52" s="21">
        <v>1</v>
      </c>
      <c r="R52" s="8" t="s">
        <v>9</v>
      </c>
      <c r="S52" s="8" t="s">
        <v>9</v>
      </c>
      <c r="T52" s="8" t="s">
        <v>9</v>
      </c>
      <c r="U52" s="8">
        <v>0</v>
      </c>
      <c r="V52" s="3">
        <v>0</v>
      </c>
      <c r="W52" s="3">
        <v>0</v>
      </c>
      <c r="X52" s="8">
        <v>1</v>
      </c>
      <c r="Y52" s="8">
        <v>0</v>
      </c>
      <c r="Z52" s="8">
        <v>0</v>
      </c>
      <c r="AA52" s="8" t="s">
        <v>9</v>
      </c>
      <c r="AB52" s="8">
        <v>0</v>
      </c>
      <c r="AC52" s="8">
        <v>0</v>
      </c>
      <c r="AD52" s="3">
        <v>0</v>
      </c>
      <c r="AE52" s="8">
        <v>0</v>
      </c>
      <c r="AF52" s="8">
        <v>0</v>
      </c>
      <c r="AG52" s="8" t="s">
        <v>9</v>
      </c>
      <c r="AH52" s="8" t="s">
        <v>9</v>
      </c>
      <c r="AI52" s="8">
        <f t="shared" si="8"/>
        <v>6</v>
      </c>
      <c r="AJ52" s="87"/>
    </row>
    <row r="53" spans="1:36" x14ac:dyDescent="0.25">
      <c r="A53" s="142" t="s">
        <v>32</v>
      </c>
      <c r="B53" s="124" t="s">
        <v>18</v>
      </c>
      <c r="C53" s="29" t="s">
        <v>48</v>
      </c>
      <c r="D53" s="7">
        <v>32</v>
      </c>
      <c r="E53" s="7">
        <v>10</v>
      </c>
      <c r="F53" s="7" t="s">
        <v>10</v>
      </c>
      <c r="G53" s="7" t="s">
        <v>10</v>
      </c>
      <c r="H53" s="7" t="s">
        <v>10</v>
      </c>
      <c r="I53" s="7" t="s">
        <v>10</v>
      </c>
      <c r="J53" s="7" t="s">
        <v>10</v>
      </c>
      <c r="K53" s="7" t="s">
        <v>10</v>
      </c>
      <c r="L53" s="7" t="s">
        <v>10</v>
      </c>
      <c r="M53" s="7" t="s">
        <v>10</v>
      </c>
      <c r="N53" s="7" t="s">
        <v>10</v>
      </c>
      <c r="O53" s="7" t="s">
        <v>10</v>
      </c>
      <c r="P53" s="7" t="s">
        <v>10</v>
      </c>
      <c r="Q53" s="7" t="s">
        <v>10</v>
      </c>
      <c r="R53" s="7" t="s">
        <v>10</v>
      </c>
      <c r="S53" s="7" t="s">
        <v>10</v>
      </c>
      <c r="T53" s="7" t="s">
        <v>10</v>
      </c>
      <c r="U53" s="7" t="s">
        <v>10</v>
      </c>
      <c r="V53" s="7" t="s">
        <v>10</v>
      </c>
      <c r="W53" s="7" t="s">
        <v>10</v>
      </c>
      <c r="X53" s="7" t="s">
        <v>10</v>
      </c>
      <c r="Y53" s="7" t="s">
        <v>10</v>
      </c>
      <c r="Z53" s="7" t="s">
        <v>10</v>
      </c>
      <c r="AA53" s="7" t="s">
        <v>10</v>
      </c>
      <c r="AB53" s="7" t="s">
        <v>10</v>
      </c>
      <c r="AC53" s="7" t="s">
        <v>10</v>
      </c>
      <c r="AD53" s="7" t="s">
        <v>10</v>
      </c>
      <c r="AE53" s="7" t="s">
        <v>10</v>
      </c>
      <c r="AF53" s="7" t="s">
        <v>10</v>
      </c>
      <c r="AG53" s="7" t="s">
        <v>10</v>
      </c>
      <c r="AH53" s="7" t="s">
        <v>9</v>
      </c>
      <c r="AI53" s="27">
        <f t="shared" ref="AI53:AI58" si="9">SUM(D53:AH53)</f>
        <v>42</v>
      </c>
      <c r="AJ53" s="85">
        <f>SUM(AI53:AI58)</f>
        <v>71</v>
      </c>
    </row>
    <row r="54" spans="1:36" x14ac:dyDescent="0.25">
      <c r="A54" s="143"/>
      <c r="B54" s="125"/>
      <c r="C54" s="32" t="s">
        <v>50</v>
      </c>
      <c r="D54" s="14">
        <v>6</v>
      </c>
      <c r="E54" s="14">
        <v>10</v>
      </c>
      <c r="F54" s="14" t="s">
        <v>10</v>
      </c>
      <c r="G54" s="14" t="s">
        <v>10</v>
      </c>
      <c r="H54" s="14" t="s">
        <v>10</v>
      </c>
      <c r="I54" s="14" t="s">
        <v>10</v>
      </c>
      <c r="J54" s="14" t="s">
        <v>10</v>
      </c>
      <c r="K54" s="14" t="s">
        <v>10</v>
      </c>
      <c r="L54" s="14" t="s">
        <v>10</v>
      </c>
      <c r="M54" s="14" t="s">
        <v>10</v>
      </c>
      <c r="N54" s="14" t="s">
        <v>10</v>
      </c>
      <c r="O54" s="14" t="s">
        <v>10</v>
      </c>
      <c r="P54" s="14" t="s">
        <v>10</v>
      </c>
      <c r="Q54" s="14" t="s">
        <v>10</v>
      </c>
      <c r="R54" s="14" t="s">
        <v>10</v>
      </c>
      <c r="S54" s="14" t="s">
        <v>10</v>
      </c>
      <c r="T54" s="14" t="s">
        <v>10</v>
      </c>
      <c r="U54" s="14" t="s">
        <v>10</v>
      </c>
      <c r="V54" s="14" t="s">
        <v>10</v>
      </c>
      <c r="W54" s="14" t="s">
        <v>10</v>
      </c>
      <c r="X54" s="14" t="s">
        <v>10</v>
      </c>
      <c r="Y54" s="14" t="s">
        <v>10</v>
      </c>
      <c r="Z54" s="14" t="s">
        <v>10</v>
      </c>
      <c r="AA54" s="14" t="s">
        <v>10</v>
      </c>
      <c r="AB54" s="14" t="s">
        <v>10</v>
      </c>
      <c r="AC54" s="14" t="s">
        <v>10</v>
      </c>
      <c r="AD54" s="14" t="s">
        <v>10</v>
      </c>
      <c r="AE54" s="14" t="s">
        <v>10</v>
      </c>
      <c r="AF54" s="14" t="s">
        <v>10</v>
      </c>
      <c r="AG54" s="14" t="s">
        <v>10</v>
      </c>
      <c r="AH54" s="14" t="s">
        <v>9</v>
      </c>
      <c r="AI54" s="28">
        <f t="shared" si="9"/>
        <v>16</v>
      </c>
      <c r="AJ54" s="122"/>
    </row>
    <row r="55" spans="1:36" x14ac:dyDescent="0.25">
      <c r="A55" s="143"/>
      <c r="B55" s="125"/>
      <c r="C55" s="32" t="s">
        <v>49</v>
      </c>
      <c r="D55" s="14">
        <v>0</v>
      </c>
      <c r="E55" s="14">
        <v>0</v>
      </c>
      <c r="F55" s="14" t="s">
        <v>10</v>
      </c>
      <c r="G55" s="14" t="s">
        <v>10</v>
      </c>
      <c r="H55" s="14" t="s">
        <v>10</v>
      </c>
      <c r="I55" s="14" t="s">
        <v>10</v>
      </c>
      <c r="J55" s="14" t="s">
        <v>10</v>
      </c>
      <c r="K55" s="14" t="s">
        <v>10</v>
      </c>
      <c r="L55" s="14" t="s">
        <v>10</v>
      </c>
      <c r="M55" s="14" t="s">
        <v>10</v>
      </c>
      <c r="N55" s="14" t="s">
        <v>10</v>
      </c>
      <c r="O55" s="14" t="s">
        <v>10</v>
      </c>
      <c r="P55" s="14" t="s">
        <v>10</v>
      </c>
      <c r="Q55" s="14" t="s">
        <v>10</v>
      </c>
      <c r="R55" s="14" t="s">
        <v>10</v>
      </c>
      <c r="S55" s="14" t="s">
        <v>10</v>
      </c>
      <c r="T55" s="14" t="s">
        <v>10</v>
      </c>
      <c r="U55" s="14" t="s">
        <v>10</v>
      </c>
      <c r="V55" s="14" t="s">
        <v>10</v>
      </c>
      <c r="W55" s="14" t="s">
        <v>10</v>
      </c>
      <c r="X55" s="14" t="s">
        <v>10</v>
      </c>
      <c r="Y55" s="14" t="s">
        <v>10</v>
      </c>
      <c r="Z55" s="14" t="s">
        <v>10</v>
      </c>
      <c r="AA55" s="14" t="s">
        <v>10</v>
      </c>
      <c r="AB55" s="14" t="s">
        <v>10</v>
      </c>
      <c r="AC55" s="14" t="s">
        <v>10</v>
      </c>
      <c r="AD55" s="14" t="s">
        <v>10</v>
      </c>
      <c r="AE55" s="14" t="s">
        <v>10</v>
      </c>
      <c r="AF55" s="14" t="s">
        <v>10</v>
      </c>
      <c r="AG55" s="14" t="s">
        <v>10</v>
      </c>
      <c r="AH55" s="14" t="s">
        <v>9</v>
      </c>
      <c r="AI55" s="28">
        <f t="shared" si="9"/>
        <v>0</v>
      </c>
      <c r="AJ55" s="122"/>
    </row>
    <row r="56" spans="1:36" x14ac:dyDescent="0.25">
      <c r="A56" s="143"/>
      <c r="B56" s="126"/>
      <c r="C56" s="32" t="s">
        <v>51</v>
      </c>
      <c r="D56" s="14">
        <v>1</v>
      </c>
      <c r="E56" s="14">
        <v>0</v>
      </c>
      <c r="F56" s="14" t="s">
        <v>10</v>
      </c>
      <c r="G56" s="14" t="s">
        <v>10</v>
      </c>
      <c r="H56" s="14" t="s">
        <v>10</v>
      </c>
      <c r="I56" s="14" t="s">
        <v>10</v>
      </c>
      <c r="J56" s="14" t="s">
        <v>10</v>
      </c>
      <c r="K56" s="14" t="s">
        <v>10</v>
      </c>
      <c r="L56" s="14" t="s">
        <v>10</v>
      </c>
      <c r="M56" s="14" t="s">
        <v>10</v>
      </c>
      <c r="N56" s="14" t="s">
        <v>10</v>
      </c>
      <c r="O56" s="14" t="s">
        <v>10</v>
      </c>
      <c r="P56" s="14" t="s">
        <v>10</v>
      </c>
      <c r="Q56" s="14" t="s">
        <v>10</v>
      </c>
      <c r="R56" s="14" t="s">
        <v>10</v>
      </c>
      <c r="S56" s="14" t="s">
        <v>10</v>
      </c>
      <c r="T56" s="14" t="s">
        <v>10</v>
      </c>
      <c r="U56" s="14" t="s">
        <v>10</v>
      </c>
      <c r="V56" s="14" t="s">
        <v>10</v>
      </c>
      <c r="W56" s="14" t="s">
        <v>10</v>
      </c>
      <c r="X56" s="14" t="s">
        <v>10</v>
      </c>
      <c r="Y56" s="14" t="s">
        <v>10</v>
      </c>
      <c r="Z56" s="14" t="s">
        <v>10</v>
      </c>
      <c r="AA56" s="14" t="s">
        <v>10</v>
      </c>
      <c r="AB56" s="14" t="s">
        <v>10</v>
      </c>
      <c r="AC56" s="14" t="s">
        <v>10</v>
      </c>
      <c r="AD56" s="14" t="s">
        <v>10</v>
      </c>
      <c r="AE56" s="14" t="s">
        <v>10</v>
      </c>
      <c r="AF56" s="14" t="s">
        <v>10</v>
      </c>
      <c r="AG56" s="14" t="s">
        <v>10</v>
      </c>
      <c r="AH56" s="14" t="s">
        <v>9</v>
      </c>
      <c r="AI56" s="28">
        <f t="shared" si="9"/>
        <v>1</v>
      </c>
      <c r="AJ56" s="122"/>
    </row>
    <row r="57" spans="1:36" x14ac:dyDescent="0.25">
      <c r="A57" s="143"/>
      <c r="B57" s="127" t="s">
        <v>45</v>
      </c>
      <c r="C57" s="30" t="s">
        <v>46</v>
      </c>
      <c r="D57" s="3">
        <v>2</v>
      </c>
      <c r="E57" s="3">
        <v>9</v>
      </c>
      <c r="F57" s="3" t="s">
        <v>10</v>
      </c>
      <c r="G57" s="3" t="s">
        <v>10</v>
      </c>
      <c r="H57" s="3" t="s">
        <v>10</v>
      </c>
      <c r="I57" s="3" t="s">
        <v>10</v>
      </c>
      <c r="J57" s="3" t="s">
        <v>10</v>
      </c>
      <c r="K57" s="3" t="s">
        <v>10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2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9</v>
      </c>
      <c r="AI57" s="28">
        <f t="shared" si="9"/>
        <v>11</v>
      </c>
      <c r="AJ57" s="86"/>
    </row>
    <row r="58" spans="1:36" ht="13.5" thickBot="1" x14ac:dyDescent="0.3">
      <c r="A58" s="144"/>
      <c r="B58" s="128"/>
      <c r="C58" s="31" t="s">
        <v>47</v>
      </c>
      <c r="D58" s="8">
        <v>0</v>
      </c>
      <c r="E58" s="8">
        <v>1</v>
      </c>
      <c r="F58" s="8" t="s">
        <v>10</v>
      </c>
      <c r="G58" s="8" t="s">
        <v>10</v>
      </c>
      <c r="H58" s="8" t="s">
        <v>10</v>
      </c>
      <c r="I58" s="8" t="s">
        <v>10</v>
      </c>
      <c r="J58" s="8" t="s">
        <v>10</v>
      </c>
      <c r="K58" s="8" t="s">
        <v>10</v>
      </c>
      <c r="L58" s="8" t="s">
        <v>10</v>
      </c>
      <c r="M58" s="8" t="s">
        <v>10</v>
      </c>
      <c r="N58" s="8" t="s">
        <v>10</v>
      </c>
      <c r="O58" s="8" t="s">
        <v>10</v>
      </c>
      <c r="P58" s="8" t="s">
        <v>10</v>
      </c>
      <c r="Q58" s="8" t="s">
        <v>10</v>
      </c>
      <c r="R58" s="8" t="s">
        <v>10</v>
      </c>
      <c r="S58" s="8" t="s">
        <v>10</v>
      </c>
      <c r="T58" s="8" t="s">
        <v>10</v>
      </c>
      <c r="U58" s="8" t="s">
        <v>10</v>
      </c>
      <c r="V58" s="8" t="s">
        <v>10</v>
      </c>
      <c r="W58" s="8" t="s">
        <v>10</v>
      </c>
      <c r="X58" s="8" t="s">
        <v>10</v>
      </c>
      <c r="Y58" s="8" t="s">
        <v>10</v>
      </c>
      <c r="Z58" s="8" t="s">
        <v>10</v>
      </c>
      <c r="AA58" s="8" t="s">
        <v>10</v>
      </c>
      <c r="AB58" s="8" t="s">
        <v>10</v>
      </c>
      <c r="AC58" s="8" t="s">
        <v>10</v>
      </c>
      <c r="AD58" s="8" t="s">
        <v>10</v>
      </c>
      <c r="AE58" s="8" t="s">
        <v>10</v>
      </c>
      <c r="AF58" s="8" t="s">
        <v>10</v>
      </c>
      <c r="AG58" s="8" t="s">
        <v>10</v>
      </c>
      <c r="AH58" s="8" t="s">
        <v>9</v>
      </c>
      <c r="AI58" s="26">
        <f t="shared" si="9"/>
        <v>1</v>
      </c>
      <c r="AJ58" s="87"/>
    </row>
    <row r="59" spans="1:36" x14ac:dyDescent="0.25">
      <c r="A59" s="106" t="s">
        <v>39</v>
      </c>
      <c r="B59" s="124" t="s">
        <v>18</v>
      </c>
      <c r="C59" s="29" t="s">
        <v>48</v>
      </c>
      <c r="D59" s="7" t="s">
        <v>30</v>
      </c>
      <c r="E59" s="7" t="s">
        <v>30</v>
      </c>
      <c r="F59" s="7" t="s">
        <v>30</v>
      </c>
      <c r="G59" s="7" t="s">
        <v>30</v>
      </c>
      <c r="H59" s="7" t="s">
        <v>30</v>
      </c>
      <c r="I59" s="7" t="s">
        <v>30</v>
      </c>
      <c r="J59" s="7" t="s">
        <v>30</v>
      </c>
      <c r="K59" s="7" t="s">
        <v>30</v>
      </c>
      <c r="L59" s="7" t="s">
        <v>30</v>
      </c>
      <c r="M59" s="7" t="s">
        <v>30</v>
      </c>
      <c r="N59" s="7" t="s">
        <v>30</v>
      </c>
      <c r="O59" s="7" t="s">
        <v>30</v>
      </c>
      <c r="P59" s="7" t="s">
        <v>30</v>
      </c>
      <c r="Q59" s="20" t="s">
        <v>30</v>
      </c>
      <c r="R59" s="7" t="s">
        <v>30</v>
      </c>
      <c r="S59" s="7" t="s">
        <v>30</v>
      </c>
      <c r="T59" s="7" t="s">
        <v>30</v>
      </c>
      <c r="U59" s="7" t="s">
        <v>30</v>
      </c>
      <c r="V59" s="7" t="s">
        <v>30</v>
      </c>
      <c r="W59" s="7" t="s">
        <v>30</v>
      </c>
      <c r="X59" s="7" t="s">
        <v>30</v>
      </c>
      <c r="Y59" s="7" t="s">
        <v>30</v>
      </c>
      <c r="Z59" s="7" t="s">
        <v>30</v>
      </c>
      <c r="AA59" s="7" t="s">
        <v>30</v>
      </c>
      <c r="AB59" s="7" t="s">
        <v>30</v>
      </c>
      <c r="AC59" s="7" t="s">
        <v>30</v>
      </c>
      <c r="AD59" s="7" t="s">
        <v>30</v>
      </c>
      <c r="AE59" s="7" t="s">
        <v>30</v>
      </c>
      <c r="AF59" s="7" t="s">
        <v>30</v>
      </c>
      <c r="AG59" s="7" t="s">
        <v>30</v>
      </c>
      <c r="AH59" s="7" t="s">
        <v>30</v>
      </c>
      <c r="AI59" s="27">
        <f t="shared" ref="AI59:AI64" si="10">SUM(D59:AH59)</f>
        <v>0</v>
      </c>
      <c r="AJ59" s="85">
        <f>SUM(AI59:AI64)</f>
        <v>0</v>
      </c>
    </row>
    <row r="60" spans="1:36" x14ac:dyDescent="0.25">
      <c r="A60" s="72"/>
      <c r="B60" s="125"/>
      <c r="C60" s="32" t="s">
        <v>50</v>
      </c>
      <c r="D60" s="14" t="s">
        <v>30</v>
      </c>
      <c r="E60" s="14" t="s">
        <v>30</v>
      </c>
      <c r="F60" s="14" t="s">
        <v>30</v>
      </c>
      <c r="G60" s="14" t="s">
        <v>30</v>
      </c>
      <c r="H60" s="14" t="s">
        <v>30</v>
      </c>
      <c r="I60" s="14" t="s">
        <v>30</v>
      </c>
      <c r="J60" s="14" t="s">
        <v>30</v>
      </c>
      <c r="K60" s="14" t="s">
        <v>30</v>
      </c>
      <c r="L60" s="14" t="s">
        <v>30</v>
      </c>
      <c r="M60" s="14" t="s">
        <v>30</v>
      </c>
      <c r="N60" s="14" t="s">
        <v>30</v>
      </c>
      <c r="O60" s="14" t="s">
        <v>30</v>
      </c>
      <c r="P60" s="14" t="s">
        <v>30</v>
      </c>
      <c r="Q60" s="22" t="s">
        <v>30</v>
      </c>
      <c r="R60" s="14" t="s">
        <v>30</v>
      </c>
      <c r="S60" s="14" t="s">
        <v>30</v>
      </c>
      <c r="T60" s="14" t="s">
        <v>30</v>
      </c>
      <c r="U60" s="14" t="s">
        <v>30</v>
      </c>
      <c r="V60" s="14" t="s">
        <v>30</v>
      </c>
      <c r="W60" s="14" t="s">
        <v>30</v>
      </c>
      <c r="X60" s="14" t="s">
        <v>30</v>
      </c>
      <c r="Y60" s="14" t="s">
        <v>30</v>
      </c>
      <c r="Z60" s="14" t="s">
        <v>30</v>
      </c>
      <c r="AA60" s="14" t="s">
        <v>30</v>
      </c>
      <c r="AB60" s="14" t="s">
        <v>30</v>
      </c>
      <c r="AC60" s="14" t="s">
        <v>30</v>
      </c>
      <c r="AD60" s="14" t="s">
        <v>30</v>
      </c>
      <c r="AE60" s="14" t="s">
        <v>30</v>
      </c>
      <c r="AF60" s="14" t="s">
        <v>30</v>
      </c>
      <c r="AG60" s="14" t="s">
        <v>30</v>
      </c>
      <c r="AH60" s="14" t="s">
        <v>30</v>
      </c>
      <c r="AI60" s="28">
        <f t="shared" si="10"/>
        <v>0</v>
      </c>
      <c r="AJ60" s="122"/>
    </row>
    <row r="61" spans="1:36" x14ac:dyDescent="0.25">
      <c r="A61" s="72"/>
      <c r="B61" s="125"/>
      <c r="C61" s="32" t="s">
        <v>49</v>
      </c>
      <c r="D61" s="14" t="s">
        <v>30</v>
      </c>
      <c r="E61" s="14" t="s">
        <v>30</v>
      </c>
      <c r="F61" s="14" t="s">
        <v>30</v>
      </c>
      <c r="G61" s="14" t="s">
        <v>30</v>
      </c>
      <c r="H61" s="14" t="s">
        <v>30</v>
      </c>
      <c r="I61" s="14" t="s">
        <v>30</v>
      </c>
      <c r="J61" s="14" t="s">
        <v>30</v>
      </c>
      <c r="K61" s="14" t="s">
        <v>30</v>
      </c>
      <c r="L61" s="14" t="s">
        <v>30</v>
      </c>
      <c r="M61" s="14" t="s">
        <v>30</v>
      </c>
      <c r="N61" s="14" t="s">
        <v>30</v>
      </c>
      <c r="O61" s="14" t="s">
        <v>30</v>
      </c>
      <c r="P61" s="14" t="s">
        <v>30</v>
      </c>
      <c r="Q61" s="22" t="s">
        <v>30</v>
      </c>
      <c r="R61" s="14" t="s">
        <v>30</v>
      </c>
      <c r="S61" s="14" t="s">
        <v>30</v>
      </c>
      <c r="T61" s="14" t="s">
        <v>30</v>
      </c>
      <c r="U61" s="14" t="s">
        <v>30</v>
      </c>
      <c r="V61" s="14" t="s">
        <v>30</v>
      </c>
      <c r="W61" s="14" t="s">
        <v>30</v>
      </c>
      <c r="X61" s="14" t="s">
        <v>30</v>
      </c>
      <c r="Y61" s="14" t="s">
        <v>30</v>
      </c>
      <c r="Z61" s="14" t="s">
        <v>30</v>
      </c>
      <c r="AA61" s="14" t="s">
        <v>30</v>
      </c>
      <c r="AB61" s="14" t="s">
        <v>30</v>
      </c>
      <c r="AC61" s="14" t="s">
        <v>30</v>
      </c>
      <c r="AD61" s="14" t="s">
        <v>30</v>
      </c>
      <c r="AE61" s="14" t="s">
        <v>30</v>
      </c>
      <c r="AF61" s="14" t="s">
        <v>30</v>
      </c>
      <c r="AG61" s="14" t="s">
        <v>30</v>
      </c>
      <c r="AH61" s="14" t="s">
        <v>30</v>
      </c>
      <c r="AI61" s="28">
        <f t="shared" si="10"/>
        <v>0</v>
      </c>
      <c r="AJ61" s="122"/>
    </row>
    <row r="62" spans="1:36" x14ac:dyDescent="0.25">
      <c r="A62" s="72"/>
      <c r="B62" s="126"/>
      <c r="C62" s="32" t="s">
        <v>51</v>
      </c>
      <c r="D62" s="14" t="s">
        <v>30</v>
      </c>
      <c r="E62" s="14" t="s">
        <v>30</v>
      </c>
      <c r="F62" s="14" t="s">
        <v>30</v>
      </c>
      <c r="G62" s="14" t="s">
        <v>30</v>
      </c>
      <c r="H62" s="14" t="s">
        <v>30</v>
      </c>
      <c r="I62" s="14" t="s">
        <v>30</v>
      </c>
      <c r="J62" s="14" t="s">
        <v>30</v>
      </c>
      <c r="K62" s="14" t="s">
        <v>30</v>
      </c>
      <c r="L62" s="14" t="s">
        <v>30</v>
      </c>
      <c r="M62" s="14" t="s">
        <v>30</v>
      </c>
      <c r="N62" s="14" t="s">
        <v>30</v>
      </c>
      <c r="O62" s="14" t="s">
        <v>30</v>
      </c>
      <c r="P62" s="14" t="s">
        <v>30</v>
      </c>
      <c r="Q62" s="22" t="s">
        <v>30</v>
      </c>
      <c r="R62" s="14" t="s">
        <v>30</v>
      </c>
      <c r="S62" s="14" t="s">
        <v>30</v>
      </c>
      <c r="T62" s="14" t="s">
        <v>30</v>
      </c>
      <c r="U62" s="14" t="s">
        <v>30</v>
      </c>
      <c r="V62" s="14" t="s">
        <v>30</v>
      </c>
      <c r="W62" s="14" t="s">
        <v>30</v>
      </c>
      <c r="X62" s="14" t="s">
        <v>30</v>
      </c>
      <c r="Y62" s="14" t="s">
        <v>30</v>
      </c>
      <c r="Z62" s="14" t="s">
        <v>30</v>
      </c>
      <c r="AA62" s="14" t="s">
        <v>30</v>
      </c>
      <c r="AB62" s="14" t="s">
        <v>30</v>
      </c>
      <c r="AC62" s="14" t="s">
        <v>30</v>
      </c>
      <c r="AD62" s="14" t="s">
        <v>30</v>
      </c>
      <c r="AE62" s="14" t="s">
        <v>30</v>
      </c>
      <c r="AF62" s="14" t="s">
        <v>30</v>
      </c>
      <c r="AG62" s="14" t="s">
        <v>30</v>
      </c>
      <c r="AH62" s="14" t="s">
        <v>30</v>
      </c>
      <c r="AI62" s="28">
        <f t="shared" si="10"/>
        <v>0</v>
      </c>
      <c r="AJ62" s="122"/>
    </row>
    <row r="63" spans="1:36" x14ac:dyDescent="0.25">
      <c r="A63" s="72"/>
      <c r="B63" s="127" t="s">
        <v>45</v>
      </c>
      <c r="C63" s="30" t="s">
        <v>46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17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  <c r="AB63" s="3" t="s">
        <v>30</v>
      </c>
      <c r="AC63" s="3" t="s">
        <v>30</v>
      </c>
      <c r="AD63" s="3" t="s">
        <v>30</v>
      </c>
      <c r="AE63" s="3" t="s">
        <v>30</v>
      </c>
      <c r="AF63" s="3" t="s">
        <v>30</v>
      </c>
      <c r="AG63" s="3" t="s">
        <v>30</v>
      </c>
      <c r="AH63" s="3" t="s">
        <v>30</v>
      </c>
      <c r="AI63" s="28">
        <f t="shared" si="10"/>
        <v>0</v>
      </c>
      <c r="AJ63" s="86"/>
    </row>
    <row r="64" spans="1:36" ht="13.5" thickBot="1" x14ac:dyDescent="0.3">
      <c r="A64" s="107"/>
      <c r="B64" s="128"/>
      <c r="C64" s="31" t="s">
        <v>47</v>
      </c>
      <c r="D64" s="8" t="s">
        <v>30</v>
      </c>
      <c r="E64" s="8" t="s">
        <v>30</v>
      </c>
      <c r="F64" s="8" t="s">
        <v>30</v>
      </c>
      <c r="G64" s="8" t="s">
        <v>30</v>
      </c>
      <c r="H64" s="8" t="s">
        <v>30</v>
      </c>
      <c r="I64" s="8" t="s">
        <v>30</v>
      </c>
      <c r="J64" s="8" t="s">
        <v>30</v>
      </c>
      <c r="K64" s="8" t="s">
        <v>30</v>
      </c>
      <c r="L64" s="8" t="s">
        <v>30</v>
      </c>
      <c r="M64" s="8" t="s">
        <v>30</v>
      </c>
      <c r="N64" s="8" t="s">
        <v>30</v>
      </c>
      <c r="O64" s="8" t="s">
        <v>30</v>
      </c>
      <c r="P64" s="8" t="s">
        <v>30</v>
      </c>
      <c r="Q64" s="21" t="s">
        <v>30</v>
      </c>
      <c r="R64" s="8" t="s">
        <v>30</v>
      </c>
      <c r="S64" s="8" t="s">
        <v>30</v>
      </c>
      <c r="T64" s="8" t="s">
        <v>30</v>
      </c>
      <c r="U64" s="8" t="s">
        <v>30</v>
      </c>
      <c r="V64" s="8" t="s">
        <v>30</v>
      </c>
      <c r="W64" s="8" t="s">
        <v>30</v>
      </c>
      <c r="X64" s="8" t="s">
        <v>30</v>
      </c>
      <c r="Y64" s="8" t="s">
        <v>30</v>
      </c>
      <c r="Z64" s="8" t="s">
        <v>30</v>
      </c>
      <c r="AA64" s="8" t="s">
        <v>30</v>
      </c>
      <c r="AB64" s="8" t="s">
        <v>30</v>
      </c>
      <c r="AC64" s="8" t="s">
        <v>30</v>
      </c>
      <c r="AD64" s="8" t="s">
        <v>30</v>
      </c>
      <c r="AE64" s="8" t="s">
        <v>30</v>
      </c>
      <c r="AF64" s="8" t="s">
        <v>30</v>
      </c>
      <c r="AG64" s="8" t="s">
        <v>30</v>
      </c>
      <c r="AH64" s="8" t="s">
        <v>30</v>
      </c>
      <c r="AI64" s="26">
        <f t="shared" si="10"/>
        <v>0</v>
      </c>
      <c r="AJ64" s="87"/>
    </row>
    <row r="65" spans="1:36" ht="13.5" thickBot="1" x14ac:dyDescent="0.3">
      <c r="A65" s="110" t="s">
        <v>1</v>
      </c>
      <c r="B65" s="141"/>
      <c r="C65" s="111"/>
      <c r="D65" s="9">
        <f t="shared" ref="D65:AH65" si="11">SUM(D23:D64)</f>
        <v>205</v>
      </c>
      <c r="E65" s="9">
        <f t="shared" si="11"/>
        <v>37</v>
      </c>
      <c r="F65" s="9">
        <f t="shared" si="11"/>
        <v>0</v>
      </c>
      <c r="G65" s="9">
        <f t="shared" si="11"/>
        <v>110</v>
      </c>
      <c r="H65" s="9">
        <f t="shared" si="11"/>
        <v>103</v>
      </c>
      <c r="I65" s="9">
        <f t="shared" si="11"/>
        <v>148</v>
      </c>
      <c r="J65" s="9">
        <f t="shared" si="11"/>
        <v>162</v>
      </c>
      <c r="K65" s="9">
        <f t="shared" si="11"/>
        <v>159</v>
      </c>
      <c r="L65" s="9">
        <f t="shared" si="11"/>
        <v>44</v>
      </c>
      <c r="M65" s="9">
        <f t="shared" si="11"/>
        <v>35</v>
      </c>
      <c r="N65" s="9">
        <f t="shared" si="11"/>
        <v>156</v>
      </c>
      <c r="O65" s="9">
        <f t="shared" si="11"/>
        <v>92</v>
      </c>
      <c r="P65" s="9">
        <f t="shared" si="11"/>
        <v>69</v>
      </c>
      <c r="Q65" s="9">
        <f t="shared" si="11"/>
        <v>58</v>
      </c>
      <c r="R65" s="9">
        <f t="shared" si="11"/>
        <v>28</v>
      </c>
      <c r="S65" s="9">
        <f t="shared" si="11"/>
        <v>28</v>
      </c>
      <c r="T65" s="9">
        <f t="shared" si="11"/>
        <v>73</v>
      </c>
      <c r="U65" s="9">
        <f t="shared" si="11"/>
        <v>101</v>
      </c>
      <c r="V65" s="9">
        <f t="shared" si="11"/>
        <v>84</v>
      </c>
      <c r="W65" s="9">
        <f t="shared" si="11"/>
        <v>170</v>
      </c>
      <c r="X65" s="9">
        <f t="shared" si="11"/>
        <v>114</v>
      </c>
      <c r="Y65" s="9">
        <f t="shared" si="11"/>
        <v>131</v>
      </c>
      <c r="Z65" s="9">
        <f t="shared" si="11"/>
        <v>58</v>
      </c>
      <c r="AA65" s="9">
        <f t="shared" si="11"/>
        <v>0</v>
      </c>
      <c r="AB65" s="9">
        <f t="shared" si="11"/>
        <v>95</v>
      </c>
      <c r="AC65" s="9">
        <f t="shared" si="11"/>
        <v>171</v>
      </c>
      <c r="AD65" s="9">
        <f t="shared" si="11"/>
        <v>104</v>
      </c>
      <c r="AE65" s="9">
        <f t="shared" si="11"/>
        <v>253</v>
      </c>
      <c r="AF65" s="9">
        <f t="shared" si="11"/>
        <v>115</v>
      </c>
      <c r="AG65" s="9">
        <f t="shared" si="11"/>
        <v>9</v>
      </c>
      <c r="AH65" s="9">
        <f t="shared" si="11"/>
        <v>0</v>
      </c>
      <c r="AI65" s="9">
        <f>SUM(AI17:AI64)</f>
        <v>3657</v>
      </c>
      <c r="AJ65" s="33">
        <f>SUM(AJ17:AJ64)</f>
        <v>3657</v>
      </c>
    </row>
    <row r="67" spans="1:36" s="5" customFormat="1" ht="12" x14ac:dyDescent="0.25">
      <c r="D67" s="1" t="s">
        <v>10</v>
      </c>
      <c r="E67" s="109" t="s">
        <v>11</v>
      </c>
      <c r="F67" s="109"/>
      <c r="G67" s="6"/>
      <c r="H67" s="1" t="s">
        <v>9</v>
      </c>
      <c r="I67" s="109" t="s">
        <v>12</v>
      </c>
      <c r="J67" s="109"/>
      <c r="K67" s="6"/>
      <c r="L67" s="1" t="s">
        <v>13</v>
      </c>
      <c r="M67" s="109" t="s">
        <v>14</v>
      </c>
      <c r="N67" s="109"/>
      <c r="O67" s="109"/>
      <c r="P67" s="109"/>
      <c r="Q67" s="109"/>
      <c r="R67" s="6"/>
      <c r="S67" s="1" t="s">
        <v>15</v>
      </c>
      <c r="T67" s="109" t="s">
        <v>16</v>
      </c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</row>
    <row r="68" spans="1:36" x14ac:dyDescent="0.25">
      <c r="H68" s="1" t="s">
        <v>55</v>
      </c>
      <c r="I68" s="109" t="s">
        <v>56</v>
      </c>
      <c r="J68" s="109"/>
    </row>
    <row r="70" spans="1:36" x14ac:dyDescent="0.25">
      <c r="O70" s="2"/>
    </row>
    <row r="71" spans="1:36" x14ac:dyDescent="0.25">
      <c r="O71" s="2"/>
    </row>
    <row r="72" spans="1:36" x14ac:dyDescent="0.25">
      <c r="O72" s="2"/>
    </row>
    <row r="73" spans="1:36" x14ac:dyDescent="0.25">
      <c r="O73" s="2"/>
    </row>
    <row r="74" spans="1:36" x14ac:dyDescent="0.25">
      <c r="O74" s="2"/>
    </row>
    <row r="75" spans="1:36" x14ac:dyDescent="0.25">
      <c r="O75" s="2"/>
    </row>
  </sheetData>
  <mergeCells count="64">
    <mergeCell ref="A47:A52"/>
    <mergeCell ref="A53:A58"/>
    <mergeCell ref="M67:Q67"/>
    <mergeCell ref="T67:AJ67"/>
    <mergeCell ref="AJ53:AJ58"/>
    <mergeCell ref="B57:B58"/>
    <mergeCell ref="B53:B56"/>
    <mergeCell ref="A65:C65"/>
    <mergeCell ref="A59:A64"/>
    <mergeCell ref="B59:B62"/>
    <mergeCell ref="AJ59:AJ64"/>
    <mergeCell ref="B63:B64"/>
    <mergeCell ref="I68:J68"/>
    <mergeCell ref="E67:F67"/>
    <mergeCell ref="I67:J67"/>
    <mergeCell ref="B47:B50"/>
    <mergeCell ref="AJ47:AJ52"/>
    <mergeCell ref="B51:B52"/>
    <mergeCell ref="B41:B44"/>
    <mergeCell ref="AJ41:AJ46"/>
    <mergeCell ref="B45:B46"/>
    <mergeCell ref="A29:A34"/>
    <mergeCell ref="B23:B26"/>
    <mergeCell ref="AJ23:AJ28"/>
    <mergeCell ref="A41:A46"/>
    <mergeCell ref="B29:B32"/>
    <mergeCell ref="AJ29:AJ34"/>
    <mergeCell ref="B33:B34"/>
    <mergeCell ref="AJ35:AJ40"/>
    <mergeCell ref="B39:B40"/>
    <mergeCell ref="A23:A28"/>
    <mergeCell ref="A35:A40"/>
    <mergeCell ref="B35:B38"/>
    <mergeCell ref="B27:B28"/>
    <mergeCell ref="AJ17:AJ22"/>
    <mergeCell ref="B21:B22"/>
    <mergeCell ref="A12:C12"/>
    <mergeCell ref="AI12:AJ12"/>
    <mergeCell ref="A14:AJ14"/>
    <mergeCell ref="A15:A16"/>
    <mergeCell ref="B15:C16"/>
    <mergeCell ref="AI15:AI16"/>
    <mergeCell ref="AJ15:AJ16"/>
    <mergeCell ref="A17:A22"/>
    <mergeCell ref="B17:B20"/>
    <mergeCell ref="A10:C10"/>
    <mergeCell ref="AI10:AJ10"/>
    <mergeCell ref="A11:C11"/>
    <mergeCell ref="AI11:AJ11"/>
    <mergeCell ref="A8:C8"/>
    <mergeCell ref="AI8:AJ8"/>
    <mergeCell ref="A6:C6"/>
    <mergeCell ref="AI6:AJ6"/>
    <mergeCell ref="A7:C7"/>
    <mergeCell ref="AI7:AJ7"/>
    <mergeCell ref="A9:C9"/>
    <mergeCell ref="AI9:AJ9"/>
    <mergeCell ref="A5:C5"/>
    <mergeCell ref="AI5:AJ5"/>
    <mergeCell ref="A1:AJ1"/>
    <mergeCell ref="A2:C3"/>
    <mergeCell ref="AI2:AJ3"/>
    <mergeCell ref="A4:C4"/>
    <mergeCell ref="AI4:AJ4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B68E-9FEB-450A-8468-747CB761AA53}">
  <dimension ref="A1:AO89"/>
  <sheetViews>
    <sheetView zoomScaleNormal="100" workbookViewId="0">
      <selection activeCell="P7" sqref="P7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85546875" style="2" customWidth="1"/>
    <col min="5" max="5" width="4" style="2" bestFit="1" customWidth="1"/>
    <col min="6" max="6" width="5" style="2" bestFit="1" customWidth="1"/>
    <col min="7" max="7" width="4" style="2" bestFit="1" customWidth="1"/>
    <col min="8" max="8" width="4.140625" style="2" customWidth="1"/>
    <col min="9" max="9" width="4.7109375" style="2" customWidth="1"/>
    <col min="10" max="10" width="4" style="2" customWidth="1"/>
    <col min="11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5.140625" style="2" customWidth="1"/>
    <col min="22" max="22" width="5.42578125" style="2" customWidth="1"/>
    <col min="23" max="23" width="4.42578125" style="2" bestFit="1" customWidth="1"/>
    <col min="24" max="25" width="4.140625" style="2" bestFit="1" customWidth="1"/>
    <col min="26" max="27" width="5" style="2" bestFit="1" customWidth="1"/>
    <col min="28" max="29" width="4" style="2" bestFit="1" customWidth="1"/>
    <col min="30" max="30" width="3.7109375" style="2" customWidth="1"/>
    <col min="31" max="31" width="3.7109375" style="2" bestFit="1" customWidth="1"/>
    <col min="32" max="32" width="5" style="2" bestFit="1" customWidth="1"/>
    <col min="33" max="33" width="5.140625" style="2" customWidth="1"/>
    <col min="34" max="34" width="5" style="2" customWidth="1"/>
    <col min="35" max="35" width="6.140625" style="2" customWidth="1"/>
    <col min="36" max="36" width="7.85546875" style="2" customWidth="1"/>
    <col min="37" max="16384" width="9.140625" style="2"/>
  </cols>
  <sheetData>
    <row r="1" spans="1:41" ht="22.5" customHeight="1" thickBot="1" x14ac:dyDescent="0.3">
      <c r="A1" s="76" t="s">
        <v>69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41" ht="59.25" customHeight="1" x14ac:dyDescent="0.25">
      <c r="A2" s="77" t="s">
        <v>0</v>
      </c>
      <c r="B2" s="112"/>
      <c r="C2" s="78"/>
      <c r="D2" s="11">
        <v>45901</v>
      </c>
      <c r="E2" s="11">
        <v>45902</v>
      </c>
      <c r="F2" s="11">
        <v>45903</v>
      </c>
      <c r="G2" s="11">
        <v>45904</v>
      </c>
      <c r="H2" s="11">
        <v>45905</v>
      </c>
      <c r="I2" s="11">
        <v>45906</v>
      </c>
      <c r="J2" s="11">
        <v>45907</v>
      </c>
      <c r="K2" s="11">
        <v>45908</v>
      </c>
      <c r="L2" s="11">
        <v>45909</v>
      </c>
      <c r="M2" s="11">
        <v>45910</v>
      </c>
      <c r="N2" s="11">
        <v>45911</v>
      </c>
      <c r="O2" s="11">
        <v>45912</v>
      </c>
      <c r="P2" s="11">
        <v>45913</v>
      </c>
      <c r="Q2" s="11">
        <v>45914</v>
      </c>
      <c r="R2" s="11">
        <v>45915</v>
      </c>
      <c r="S2" s="11">
        <v>45916</v>
      </c>
      <c r="T2" s="11">
        <v>45917</v>
      </c>
      <c r="U2" s="11">
        <v>45918</v>
      </c>
      <c r="V2" s="11">
        <v>45919</v>
      </c>
      <c r="W2" s="11">
        <v>45920</v>
      </c>
      <c r="X2" s="11">
        <v>45921</v>
      </c>
      <c r="Y2" s="11">
        <v>45922</v>
      </c>
      <c r="Z2" s="11">
        <v>45923</v>
      </c>
      <c r="AA2" s="11">
        <v>45924</v>
      </c>
      <c r="AB2" s="11">
        <v>45925</v>
      </c>
      <c r="AC2" s="11">
        <v>45926</v>
      </c>
      <c r="AD2" s="11">
        <v>45927</v>
      </c>
      <c r="AE2" s="11">
        <v>45928</v>
      </c>
      <c r="AF2" s="11">
        <v>45929</v>
      </c>
      <c r="AG2" s="11">
        <v>45930</v>
      </c>
      <c r="AH2" s="81" t="s">
        <v>1</v>
      </c>
      <c r="AI2" s="82"/>
    </row>
    <row r="3" spans="1:41" ht="71.25" customHeight="1" x14ac:dyDescent="0.25">
      <c r="A3" s="79"/>
      <c r="B3" s="113"/>
      <c r="C3" s="80"/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2</v>
      </c>
      <c r="K3" s="12" t="s">
        <v>3</v>
      </c>
      <c r="L3" s="12" t="s">
        <v>4</v>
      </c>
      <c r="M3" s="12" t="s">
        <v>5</v>
      </c>
      <c r="N3" s="12" t="s">
        <v>6</v>
      </c>
      <c r="O3" s="12" t="s">
        <v>7</v>
      </c>
      <c r="P3" s="12" t="s">
        <v>8</v>
      </c>
      <c r="Q3" s="12" t="s">
        <v>2</v>
      </c>
      <c r="R3" s="12" t="s">
        <v>3</v>
      </c>
      <c r="S3" s="12" t="s">
        <v>4</v>
      </c>
      <c r="T3" s="12" t="s">
        <v>5</v>
      </c>
      <c r="U3" s="12" t="s">
        <v>6</v>
      </c>
      <c r="V3" s="12" t="s">
        <v>7</v>
      </c>
      <c r="W3" s="12" t="s">
        <v>8</v>
      </c>
      <c r="X3" s="12" t="s">
        <v>2</v>
      </c>
      <c r="Y3" s="12" t="s">
        <v>3</v>
      </c>
      <c r="Z3" s="12" t="s">
        <v>4</v>
      </c>
      <c r="AA3" s="12" t="s">
        <v>5</v>
      </c>
      <c r="AB3" s="12" t="s">
        <v>6</v>
      </c>
      <c r="AC3" s="12" t="s">
        <v>7</v>
      </c>
      <c r="AD3" s="12" t="s">
        <v>8</v>
      </c>
      <c r="AE3" s="12" t="s">
        <v>2</v>
      </c>
      <c r="AF3" s="12" t="s">
        <v>3</v>
      </c>
      <c r="AG3" s="12" t="s">
        <v>4</v>
      </c>
      <c r="AH3" s="83"/>
      <c r="AI3" s="84"/>
      <c r="AO3" s="2" t="s">
        <v>62</v>
      </c>
    </row>
    <row r="4" spans="1:41" ht="15" customHeight="1" x14ac:dyDescent="0.25">
      <c r="A4" s="72" t="s">
        <v>39</v>
      </c>
      <c r="B4" s="114"/>
      <c r="C4" s="73"/>
      <c r="D4" s="3" t="s">
        <v>30</v>
      </c>
      <c r="E4" s="3" t="s">
        <v>30</v>
      </c>
      <c r="F4" s="3">
        <v>155</v>
      </c>
      <c r="G4" s="3">
        <v>184</v>
      </c>
      <c r="H4" s="3">
        <v>134</v>
      </c>
      <c r="I4" s="3" t="s">
        <v>9</v>
      </c>
      <c r="J4" s="3" t="s">
        <v>9</v>
      </c>
      <c r="K4" s="3">
        <v>210</v>
      </c>
      <c r="L4" s="3">
        <v>211</v>
      </c>
      <c r="M4" s="3">
        <v>191</v>
      </c>
      <c r="N4" s="3">
        <v>100</v>
      </c>
      <c r="O4" s="17">
        <v>61</v>
      </c>
      <c r="P4" s="17" t="s">
        <v>9</v>
      </c>
      <c r="Q4" s="13" t="s">
        <v>9</v>
      </c>
      <c r="R4" s="3">
        <v>94</v>
      </c>
      <c r="S4" s="3">
        <v>48</v>
      </c>
      <c r="T4" s="3">
        <v>128</v>
      </c>
      <c r="U4" s="3">
        <v>323</v>
      </c>
      <c r="V4" s="3">
        <v>239</v>
      </c>
      <c r="W4" s="3" t="s">
        <v>9</v>
      </c>
      <c r="X4" s="3" t="s">
        <v>9</v>
      </c>
      <c r="Y4" s="3">
        <v>159</v>
      </c>
      <c r="Z4" s="3">
        <v>288</v>
      </c>
      <c r="AA4" s="3">
        <v>169</v>
      </c>
      <c r="AB4" s="3">
        <v>152</v>
      </c>
      <c r="AC4" s="3">
        <v>44</v>
      </c>
      <c r="AD4" s="3" t="s">
        <v>9</v>
      </c>
      <c r="AE4" s="3" t="s">
        <v>9</v>
      </c>
      <c r="AF4" s="3">
        <v>439</v>
      </c>
      <c r="AG4" s="3">
        <v>272</v>
      </c>
      <c r="AH4" s="74">
        <f>SUM(D4:AG4)</f>
        <v>3601</v>
      </c>
      <c r="AI4" s="75"/>
    </row>
    <row r="5" spans="1:41" x14ac:dyDescent="0.25">
      <c r="A5" s="72" t="s">
        <v>38</v>
      </c>
      <c r="B5" s="114"/>
      <c r="C5" s="73"/>
      <c r="D5" s="3">
        <v>145</v>
      </c>
      <c r="E5" s="3">
        <v>232</v>
      </c>
      <c r="F5" s="3">
        <v>80</v>
      </c>
      <c r="G5" s="3">
        <v>91</v>
      </c>
      <c r="H5" s="3" t="s">
        <v>9</v>
      </c>
      <c r="I5" s="3">
        <v>44</v>
      </c>
      <c r="J5" s="3" t="s">
        <v>9</v>
      </c>
      <c r="K5" s="3">
        <v>246</v>
      </c>
      <c r="L5" s="3">
        <v>128</v>
      </c>
      <c r="M5" s="3">
        <v>79</v>
      </c>
      <c r="N5" s="3">
        <v>85</v>
      </c>
      <c r="O5" s="17">
        <v>34</v>
      </c>
      <c r="P5" s="17">
        <v>103</v>
      </c>
      <c r="Q5" s="18" t="s">
        <v>9</v>
      </c>
      <c r="R5" s="3">
        <v>89</v>
      </c>
      <c r="S5" s="3">
        <v>105</v>
      </c>
      <c r="T5" s="3">
        <v>155</v>
      </c>
      <c r="U5" s="3">
        <v>167</v>
      </c>
      <c r="V5" s="17">
        <v>268</v>
      </c>
      <c r="W5" s="3" t="s">
        <v>9</v>
      </c>
      <c r="X5" s="3">
        <v>18</v>
      </c>
      <c r="Y5" s="3">
        <v>141</v>
      </c>
      <c r="Z5" s="3">
        <v>123</v>
      </c>
      <c r="AA5" s="3" t="s">
        <v>9</v>
      </c>
      <c r="AB5" s="3">
        <v>139</v>
      </c>
      <c r="AC5" s="3">
        <v>63</v>
      </c>
      <c r="AD5" s="3">
        <v>67</v>
      </c>
      <c r="AE5" s="3" t="s">
        <v>9</v>
      </c>
      <c r="AF5" s="3">
        <v>164</v>
      </c>
      <c r="AG5" s="3">
        <v>205</v>
      </c>
      <c r="AH5" s="74">
        <f>SUM(D5:AG5)</f>
        <v>2971</v>
      </c>
      <c r="AI5" s="75"/>
    </row>
    <row r="6" spans="1:41" x14ac:dyDescent="0.25">
      <c r="A6" s="72" t="s">
        <v>32</v>
      </c>
      <c r="B6" s="114"/>
      <c r="C6" s="73"/>
      <c r="D6" s="3" t="s">
        <v>10</v>
      </c>
      <c r="E6" s="3" t="s">
        <v>10</v>
      </c>
      <c r="F6" s="3">
        <v>101</v>
      </c>
      <c r="G6" s="3">
        <v>81</v>
      </c>
      <c r="H6" s="3">
        <v>59</v>
      </c>
      <c r="I6" s="3">
        <v>81</v>
      </c>
      <c r="J6" s="3">
        <v>52</v>
      </c>
      <c r="K6" s="3" t="s">
        <v>9</v>
      </c>
      <c r="L6" s="3">
        <v>111</v>
      </c>
      <c r="M6" s="3">
        <v>86</v>
      </c>
      <c r="N6" s="3">
        <v>159</v>
      </c>
      <c r="O6" s="3">
        <v>84</v>
      </c>
      <c r="P6" s="3" t="s">
        <v>9</v>
      </c>
      <c r="Q6" s="3" t="s">
        <v>9</v>
      </c>
      <c r="R6" s="3">
        <v>15</v>
      </c>
      <c r="S6" s="3">
        <v>7</v>
      </c>
      <c r="T6" s="3">
        <v>126</v>
      </c>
      <c r="U6" s="3">
        <v>185</v>
      </c>
      <c r="V6" s="3">
        <v>187</v>
      </c>
      <c r="W6" s="3">
        <v>166</v>
      </c>
      <c r="X6" s="3" t="s">
        <v>9</v>
      </c>
      <c r="Y6" s="3">
        <v>125</v>
      </c>
      <c r="Z6" s="3">
        <v>161</v>
      </c>
      <c r="AA6" s="3">
        <v>147</v>
      </c>
      <c r="AB6" s="3">
        <v>106</v>
      </c>
      <c r="AC6" s="3">
        <v>52</v>
      </c>
      <c r="AD6" s="3" t="s">
        <v>9</v>
      </c>
      <c r="AE6" s="3" t="s">
        <v>9</v>
      </c>
      <c r="AF6" s="3">
        <v>161</v>
      </c>
      <c r="AG6" s="3">
        <v>190</v>
      </c>
      <c r="AH6" s="74">
        <f>SUM(D6:AG6)</f>
        <v>2442</v>
      </c>
      <c r="AI6" s="75"/>
    </row>
    <row r="7" spans="1:41" x14ac:dyDescent="0.25">
      <c r="A7" s="72" t="s">
        <v>33</v>
      </c>
      <c r="B7" s="114"/>
      <c r="C7" s="73"/>
      <c r="D7" s="3">
        <v>175</v>
      </c>
      <c r="E7" s="3">
        <v>194</v>
      </c>
      <c r="F7" s="3">
        <v>73</v>
      </c>
      <c r="G7" s="3">
        <v>116</v>
      </c>
      <c r="H7" s="3">
        <v>46</v>
      </c>
      <c r="I7" s="3">
        <v>34</v>
      </c>
      <c r="J7" s="3" t="s">
        <v>9</v>
      </c>
      <c r="K7" s="3">
        <v>159</v>
      </c>
      <c r="L7" s="3">
        <v>60</v>
      </c>
      <c r="M7" s="3">
        <v>54</v>
      </c>
      <c r="N7" s="3">
        <v>50</v>
      </c>
      <c r="O7" s="3">
        <v>50</v>
      </c>
      <c r="P7" s="3" t="s">
        <v>9</v>
      </c>
      <c r="Q7" s="3" t="s">
        <v>9</v>
      </c>
      <c r="R7" s="3">
        <v>4</v>
      </c>
      <c r="S7" s="3">
        <v>10</v>
      </c>
      <c r="T7" s="3">
        <v>65</v>
      </c>
      <c r="U7" s="3">
        <v>124</v>
      </c>
      <c r="V7" s="3">
        <v>74</v>
      </c>
      <c r="W7" s="3">
        <v>78</v>
      </c>
      <c r="X7" s="3" t="s">
        <v>9</v>
      </c>
      <c r="Y7" s="3">
        <v>3</v>
      </c>
      <c r="Z7" s="3">
        <v>142</v>
      </c>
      <c r="AA7" s="3">
        <v>88</v>
      </c>
      <c r="AB7" s="3">
        <v>83</v>
      </c>
      <c r="AC7" s="3">
        <v>41</v>
      </c>
      <c r="AD7" s="3" t="s">
        <v>9</v>
      </c>
      <c r="AE7" s="3">
        <v>116</v>
      </c>
      <c r="AF7" s="3">
        <v>237</v>
      </c>
      <c r="AG7" s="3" t="s">
        <v>9</v>
      </c>
      <c r="AH7" s="74">
        <f>SUM(D7:AG7)</f>
        <v>2076</v>
      </c>
      <c r="AI7" s="75"/>
    </row>
    <row r="8" spans="1:41" x14ac:dyDescent="0.25">
      <c r="A8" s="72" t="s">
        <v>35</v>
      </c>
      <c r="B8" s="114"/>
      <c r="C8" s="73"/>
      <c r="D8" s="3">
        <v>211</v>
      </c>
      <c r="E8" s="3">
        <v>195</v>
      </c>
      <c r="F8" s="3">
        <v>94</v>
      </c>
      <c r="G8" s="3">
        <v>85</v>
      </c>
      <c r="H8" s="3">
        <v>22</v>
      </c>
      <c r="I8" s="3" t="s">
        <v>9</v>
      </c>
      <c r="J8" s="3" t="s">
        <v>9</v>
      </c>
      <c r="K8" s="3">
        <v>121</v>
      </c>
      <c r="L8" s="3">
        <v>70</v>
      </c>
      <c r="M8" s="3">
        <v>73</v>
      </c>
      <c r="N8" s="3">
        <v>14</v>
      </c>
      <c r="O8" s="17">
        <v>33</v>
      </c>
      <c r="P8" s="17" t="s">
        <v>9</v>
      </c>
      <c r="Q8" s="3" t="s">
        <v>9</v>
      </c>
      <c r="R8" s="3">
        <v>45</v>
      </c>
      <c r="S8" s="3">
        <v>24</v>
      </c>
      <c r="T8" s="3">
        <v>46</v>
      </c>
      <c r="U8" s="3">
        <v>119</v>
      </c>
      <c r="V8" s="17">
        <v>76</v>
      </c>
      <c r="W8" s="3" t="s">
        <v>74</v>
      </c>
      <c r="X8" s="3" t="s">
        <v>9</v>
      </c>
      <c r="Y8" s="3">
        <v>79</v>
      </c>
      <c r="Z8" s="3">
        <v>91</v>
      </c>
      <c r="AA8" s="3">
        <v>96</v>
      </c>
      <c r="AB8" s="3">
        <v>98</v>
      </c>
      <c r="AC8" s="3">
        <v>50</v>
      </c>
      <c r="AD8" s="3" t="s">
        <v>9</v>
      </c>
      <c r="AE8" s="3" t="s">
        <v>9</v>
      </c>
      <c r="AF8" s="3">
        <v>167</v>
      </c>
      <c r="AG8" s="3">
        <v>187</v>
      </c>
      <c r="AH8" s="74">
        <f>SUM(D8:AG8)</f>
        <v>1996</v>
      </c>
      <c r="AI8" s="75"/>
    </row>
    <row r="9" spans="1:41" x14ac:dyDescent="0.25">
      <c r="A9" s="72" t="s">
        <v>36</v>
      </c>
      <c r="B9" s="114"/>
      <c r="C9" s="73"/>
      <c r="D9" s="3">
        <v>72</v>
      </c>
      <c r="E9" s="3">
        <v>111</v>
      </c>
      <c r="F9" s="13">
        <v>60</v>
      </c>
      <c r="G9" s="3">
        <v>60</v>
      </c>
      <c r="H9" s="3">
        <v>28</v>
      </c>
      <c r="I9" s="3" t="s">
        <v>9</v>
      </c>
      <c r="J9" s="3" t="s">
        <v>9</v>
      </c>
      <c r="K9" s="3">
        <v>34</v>
      </c>
      <c r="L9" s="3">
        <v>23</v>
      </c>
      <c r="M9" s="3">
        <v>20</v>
      </c>
      <c r="N9" s="3">
        <v>46</v>
      </c>
      <c r="O9" s="17">
        <v>72</v>
      </c>
      <c r="P9" s="17">
        <v>28</v>
      </c>
      <c r="Q9" s="3" t="s">
        <v>9</v>
      </c>
      <c r="R9" s="3">
        <v>37</v>
      </c>
      <c r="S9" s="3">
        <v>42</v>
      </c>
      <c r="T9" s="13">
        <v>48</v>
      </c>
      <c r="U9" s="3">
        <v>52</v>
      </c>
      <c r="V9" s="17">
        <v>76</v>
      </c>
      <c r="W9" s="17">
        <v>8</v>
      </c>
      <c r="X9" s="3" t="s">
        <v>9</v>
      </c>
      <c r="Y9" s="3">
        <v>105</v>
      </c>
      <c r="Z9" s="3">
        <v>66</v>
      </c>
      <c r="AA9" s="3">
        <v>89</v>
      </c>
      <c r="AB9" s="3">
        <v>66</v>
      </c>
      <c r="AC9" s="13">
        <v>91</v>
      </c>
      <c r="AD9" s="13">
        <v>70</v>
      </c>
      <c r="AE9" s="13" t="s">
        <v>9</v>
      </c>
      <c r="AF9" s="13">
        <v>3</v>
      </c>
      <c r="AG9" s="3" t="s">
        <v>30</v>
      </c>
      <c r="AH9" s="74">
        <f t="shared" ref="AH9:AH13" si="0">SUM(D9:AG9)</f>
        <v>1307</v>
      </c>
      <c r="AI9" s="75"/>
    </row>
    <row r="10" spans="1:41" x14ac:dyDescent="0.25">
      <c r="A10" s="72" t="s">
        <v>22</v>
      </c>
      <c r="B10" s="114"/>
      <c r="C10" s="73"/>
      <c r="D10" s="3">
        <v>114</v>
      </c>
      <c r="E10" s="3">
        <v>88</v>
      </c>
      <c r="F10" s="3">
        <v>73</v>
      </c>
      <c r="G10" s="3">
        <v>24</v>
      </c>
      <c r="H10" s="3">
        <v>9</v>
      </c>
      <c r="I10" s="3">
        <v>8</v>
      </c>
      <c r="J10" s="3" t="s">
        <v>9</v>
      </c>
      <c r="K10" s="3">
        <v>10</v>
      </c>
      <c r="L10" s="3">
        <v>6</v>
      </c>
      <c r="M10" s="3">
        <v>0</v>
      </c>
      <c r="N10" s="3">
        <v>5</v>
      </c>
      <c r="O10" s="3">
        <v>5</v>
      </c>
      <c r="P10" s="3" t="s">
        <v>9</v>
      </c>
      <c r="Q10" s="3" t="s">
        <v>9</v>
      </c>
      <c r="R10" s="3">
        <v>4</v>
      </c>
      <c r="S10" s="3">
        <v>0</v>
      </c>
      <c r="T10" s="3">
        <v>2</v>
      </c>
      <c r="U10" s="3">
        <v>63</v>
      </c>
      <c r="V10" s="3">
        <v>71</v>
      </c>
      <c r="W10" s="3">
        <v>44</v>
      </c>
      <c r="X10" s="3" t="s">
        <v>9</v>
      </c>
      <c r="Y10" s="3">
        <v>47</v>
      </c>
      <c r="Z10" s="3">
        <v>136</v>
      </c>
      <c r="AA10" s="3">
        <v>142</v>
      </c>
      <c r="AB10" s="3">
        <v>62</v>
      </c>
      <c r="AC10" s="3">
        <v>29</v>
      </c>
      <c r="AD10" s="3" t="s">
        <v>9</v>
      </c>
      <c r="AE10" s="3" t="s">
        <v>9</v>
      </c>
      <c r="AF10" s="3">
        <v>134</v>
      </c>
      <c r="AG10" s="3">
        <v>159</v>
      </c>
      <c r="AH10" s="74">
        <f>SUM(D10:AG10)</f>
        <v>1235</v>
      </c>
      <c r="AI10" s="75"/>
    </row>
    <row r="11" spans="1:41" x14ac:dyDescent="0.25">
      <c r="A11" s="72" t="s">
        <v>73</v>
      </c>
      <c r="B11" s="114"/>
      <c r="C11" s="73"/>
      <c r="D11" s="3">
        <v>1</v>
      </c>
      <c r="E11" s="3">
        <v>8</v>
      </c>
      <c r="F11" s="13">
        <v>6</v>
      </c>
      <c r="G11" s="3">
        <v>6</v>
      </c>
      <c r="H11" s="3">
        <v>2</v>
      </c>
      <c r="I11" s="13">
        <v>4</v>
      </c>
      <c r="J11" s="3" t="s">
        <v>9</v>
      </c>
      <c r="K11" s="3">
        <v>5</v>
      </c>
      <c r="L11" s="3">
        <v>3</v>
      </c>
      <c r="M11" s="3">
        <v>3</v>
      </c>
      <c r="N11" s="3">
        <v>3</v>
      </c>
      <c r="O11" s="17">
        <v>5</v>
      </c>
      <c r="P11" s="17">
        <v>2</v>
      </c>
      <c r="Q11" s="3" t="s">
        <v>9</v>
      </c>
      <c r="R11" s="3">
        <v>5</v>
      </c>
      <c r="S11" s="3">
        <v>1</v>
      </c>
      <c r="T11" s="13">
        <v>2</v>
      </c>
      <c r="U11" s="3">
        <v>3</v>
      </c>
      <c r="V11" s="17">
        <v>25</v>
      </c>
      <c r="W11" s="17">
        <v>2</v>
      </c>
      <c r="X11" s="3" t="s">
        <v>9</v>
      </c>
      <c r="Y11" s="3">
        <v>2</v>
      </c>
      <c r="Z11" s="3">
        <v>41</v>
      </c>
      <c r="AA11" s="3">
        <v>67</v>
      </c>
      <c r="AB11" s="3">
        <v>51</v>
      </c>
      <c r="AC11" s="13">
        <v>18</v>
      </c>
      <c r="AD11" s="13">
        <v>0</v>
      </c>
      <c r="AE11" s="13" t="s">
        <v>9</v>
      </c>
      <c r="AF11" s="13">
        <v>105</v>
      </c>
      <c r="AG11" s="3">
        <v>134</v>
      </c>
      <c r="AH11" s="74">
        <f t="shared" si="0"/>
        <v>504</v>
      </c>
      <c r="AI11" s="75"/>
    </row>
    <row r="12" spans="1:41" x14ac:dyDescent="0.25">
      <c r="A12" s="72" t="s">
        <v>72</v>
      </c>
      <c r="B12" s="114"/>
      <c r="C12" s="73"/>
      <c r="D12" s="3">
        <v>0</v>
      </c>
      <c r="E12" s="3">
        <v>4</v>
      </c>
      <c r="F12" s="13">
        <v>6</v>
      </c>
      <c r="G12" s="3">
        <v>3</v>
      </c>
      <c r="H12" s="3">
        <v>2</v>
      </c>
      <c r="I12" s="13">
        <v>2</v>
      </c>
      <c r="J12" s="3" t="s">
        <v>9</v>
      </c>
      <c r="K12" s="3">
        <v>2</v>
      </c>
      <c r="L12" s="3">
        <v>2</v>
      </c>
      <c r="M12" s="3">
        <v>6</v>
      </c>
      <c r="N12" s="3">
        <v>2</v>
      </c>
      <c r="O12" s="17">
        <v>5</v>
      </c>
      <c r="P12" s="17" t="s">
        <v>9</v>
      </c>
      <c r="Q12" s="3" t="s">
        <v>9</v>
      </c>
      <c r="R12" s="3">
        <v>0</v>
      </c>
      <c r="S12" s="3">
        <v>1</v>
      </c>
      <c r="T12" s="13">
        <v>1</v>
      </c>
      <c r="U12" s="3">
        <v>0</v>
      </c>
      <c r="V12" s="17">
        <v>25</v>
      </c>
      <c r="W12" s="17">
        <v>0</v>
      </c>
      <c r="X12" s="3" t="s">
        <v>9</v>
      </c>
      <c r="Y12" s="3">
        <v>2</v>
      </c>
      <c r="Z12" s="3">
        <v>45</v>
      </c>
      <c r="AA12" s="3">
        <v>74</v>
      </c>
      <c r="AB12" s="3">
        <v>45</v>
      </c>
      <c r="AC12" s="13">
        <v>28</v>
      </c>
      <c r="AD12" s="13">
        <v>0</v>
      </c>
      <c r="AE12" s="13" t="s">
        <v>9</v>
      </c>
      <c r="AF12" s="13">
        <v>104</v>
      </c>
      <c r="AG12" s="3">
        <v>122</v>
      </c>
      <c r="AH12" s="74">
        <f t="shared" si="0"/>
        <v>481</v>
      </c>
      <c r="AI12" s="75"/>
    </row>
    <row r="13" spans="1:41" x14ac:dyDescent="0.25">
      <c r="A13" s="72" t="s">
        <v>34</v>
      </c>
      <c r="B13" s="114"/>
      <c r="C13" s="73"/>
      <c r="D13" s="3" t="s">
        <v>10</v>
      </c>
      <c r="E13" s="13" t="s">
        <v>10</v>
      </c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  <c r="O13" s="13" t="s">
        <v>10</v>
      </c>
      <c r="P13" s="13" t="s">
        <v>10</v>
      </c>
      <c r="Q13" s="13" t="s">
        <v>10</v>
      </c>
      <c r="R13" s="13" t="s">
        <v>10</v>
      </c>
      <c r="S13" s="13" t="s">
        <v>10</v>
      </c>
      <c r="T13" s="13" t="s">
        <v>10</v>
      </c>
      <c r="U13" s="13" t="s">
        <v>10</v>
      </c>
      <c r="V13" s="13" t="s">
        <v>10</v>
      </c>
      <c r="W13" s="13" t="s">
        <v>10</v>
      </c>
      <c r="X13" s="13" t="s">
        <v>10</v>
      </c>
      <c r="Y13" s="13" t="s">
        <v>10</v>
      </c>
      <c r="Z13" s="13" t="s">
        <v>10</v>
      </c>
      <c r="AA13" s="13" t="s">
        <v>10</v>
      </c>
      <c r="AB13" s="13" t="s">
        <v>10</v>
      </c>
      <c r="AC13" s="13" t="s">
        <v>10</v>
      </c>
      <c r="AD13" s="13" t="s">
        <v>10</v>
      </c>
      <c r="AE13" s="13" t="s">
        <v>10</v>
      </c>
      <c r="AF13" s="13" t="s">
        <v>10</v>
      </c>
      <c r="AG13" s="13" t="s">
        <v>10</v>
      </c>
      <c r="AH13" s="74">
        <f t="shared" si="0"/>
        <v>0</v>
      </c>
      <c r="AI13" s="75"/>
    </row>
    <row r="14" spans="1:41" ht="13.5" thickBot="1" x14ac:dyDescent="0.3">
      <c r="A14" s="92" t="s">
        <v>1</v>
      </c>
      <c r="B14" s="115"/>
      <c r="C14" s="93"/>
      <c r="D14" s="10">
        <f>SUM(D4:D13)</f>
        <v>718</v>
      </c>
      <c r="E14" s="10">
        <f t="shared" ref="E14:AF14" si="1">SUM(E4:E13)</f>
        <v>832</v>
      </c>
      <c r="F14" s="10">
        <f t="shared" si="1"/>
        <v>648</v>
      </c>
      <c r="G14" s="10">
        <f t="shared" si="1"/>
        <v>650</v>
      </c>
      <c r="H14" s="10">
        <f t="shared" si="1"/>
        <v>302</v>
      </c>
      <c r="I14" s="10">
        <f t="shared" si="1"/>
        <v>173</v>
      </c>
      <c r="J14" s="10">
        <f t="shared" si="1"/>
        <v>52</v>
      </c>
      <c r="K14" s="10">
        <f t="shared" si="1"/>
        <v>787</v>
      </c>
      <c r="L14" s="10">
        <f t="shared" si="1"/>
        <v>614</v>
      </c>
      <c r="M14" s="10">
        <f t="shared" si="1"/>
        <v>512</v>
      </c>
      <c r="N14" s="10">
        <f t="shared" si="1"/>
        <v>464</v>
      </c>
      <c r="O14" s="10">
        <f t="shared" si="1"/>
        <v>349</v>
      </c>
      <c r="P14" s="10">
        <f t="shared" si="1"/>
        <v>133</v>
      </c>
      <c r="Q14" s="10">
        <f t="shared" si="1"/>
        <v>0</v>
      </c>
      <c r="R14" s="10">
        <f t="shared" si="1"/>
        <v>293</v>
      </c>
      <c r="S14" s="10">
        <f t="shared" si="1"/>
        <v>238</v>
      </c>
      <c r="T14" s="10">
        <f t="shared" si="1"/>
        <v>573</v>
      </c>
      <c r="U14" s="10">
        <f t="shared" si="1"/>
        <v>1036</v>
      </c>
      <c r="V14" s="10">
        <f t="shared" si="1"/>
        <v>1041</v>
      </c>
      <c r="W14" s="10">
        <f t="shared" si="1"/>
        <v>298</v>
      </c>
      <c r="X14" s="10">
        <f t="shared" si="1"/>
        <v>18</v>
      </c>
      <c r="Y14" s="10">
        <f t="shared" si="1"/>
        <v>663</v>
      </c>
      <c r="Z14" s="10">
        <f t="shared" si="1"/>
        <v>1093</v>
      </c>
      <c r="AA14" s="10">
        <f t="shared" si="1"/>
        <v>872</v>
      </c>
      <c r="AB14" s="10">
        <f t="shared" si="1"/>
        <v>802</v>
      </c>
      <c r="AC14" s="10">
        <f t="shared" si="1"/>
        <v>416</v>
      </c>
      <c r="AD14" s="10">
        <f t="shared" si="1"/>
        <v>137</v>
      </c>
      <c r="AE14" s="10">
        <f t="shared" si="1"/>
        <v>116</v>
      </c>
      <c r="AF14" s="10">
        <f t="shared" si="1"/>
        <v>1514</v>
      </c>
      <c r="AG14" s="10">
        <f>SUM(AG4:AG13)</f>
        <v>1269</v>
      </c>
      <c r="AH14" s="116">
        <f>SUM(D14:AG14)</f>
        <v>16613</v>
      </c>
      <c r="AI14" s="117"/>
      <c r="AJ14" s="4"/>
    </row>
    <row r="15" spans="1:41" ht="13.5" thickBot="1" x14ac:dyDescent="0.3"/>
    <row r="16" spans="1:41" ht="22.5" customHeight="1" thickBot="1" x14ac:dyDescent="0.3">
      <c r="A16" s="96" t="s">
        <v>70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</row>
    <row r="17" spans="1:35" ht="57" customHeight="1" thickBot="1" x14ac:dyDescent="0.3">
      <c r="A17" s="97" t="s">
        <v>0</v>
      </c>
      <c r="B17" s="132" t="s">
        <v>17</v>
      </c>
      <c r="C17" s="133"/>
      <c r="D17" s="11">
        <v>45901</v>
      </c>
      <c r="E17" s="11">
        <v>45902</v>
      </c>
      <c r="F17" s="11">
        <v>45903</v>
      </c>
      <c r="G17" s="11">
        <v>45904</v>
      </c>
      <c r="H17" s="11">
        <v>45905</v>
      </c>
      <c r="I17" s="11">
        <v>45906</v>
      </c>
      <c r="J17" s="11">
        <v>45907</v>
      </c>
      <c r="K17" s="11">
        <v>45908</v>
      </c>
      <c r="L17" s="11">
        <v>45909</v>
      </c>
      <c r="M17" s="11">
        <v>45910</v>
      </c>
      <c r="N17" s="11">
        <v>45911</v>
      </c>
      <c r="O17" s="11">
        <v>45912</v>
      </c>
      <c r="P17" s="11">
        <v>45913</v>
      </c>
      <c r="Q17" s="11">
        <v>45914</v>
      </c>
      <c r="R17" s="11">
        <v>45915</v>
      </c>
      <c r="S17" s="11">
        <v>45916</v>
      </c>
      <c r="T17" s="11">
        <v>45917</v>
      </c>
      <c r="U17" s="11">
        <v>45918</v>
      </c>
      <c r="V17" s="11">
        <v>45919</v>
      </c>
      <c r="W17" s="11">
        <v>45920</v>
      </c>
      <c r="X17" s="11">
        <v>45921</v>
      </c>
      <c r="Y17" s="11">
        <v>45922</v>
      </c>
      <c r="Z17" s="11">
        <v>45923</v>
      </c>
      <c r="AA17" s="11">
        <v>45924</v>
      </c>
      <c r="AB17" s="11">
        <v>45925</v>
      </c>
      <c r="AC17" s="11">
        <v>45926</v>
      </c>
      <c r="AD17" s="11">
        <v>45927</v>
      </c>
      <c r="AE17" s="11">
        <v>45928</v>
      </c>
      <c r="AF17" s="11">
        <v>45929</v>
      </c>
      <c r="AG17" s="11">
        <v>45930</v>
      </c>
      <c r="AH17" s="101" t="s">
        <v>28</v>
      </c>
      <c r="AI17" s="103" t="s">
        <v>27</v>
      </c>
    </row>
    <row r="18" spans="1:35" ht="63.75" thickBot="1" x14ac:dyDescent="0.3">
      <c r="A18" s="98"/>
      <c r="B18" s="146"/>
      <c r="C18" s="147"/>
      <c r="D18" s="12" t="s">
        <v>3</v>
      </c>
      <c r="E18" s="12" t="s">
        <v>4</v>
      </c>
      <c r="F18" s="12" t="s">
        <v>5</v>
      </c>
      <c r="G18" s="12" t="s">
        <v>6</v>
      </c>
      <c r="H18" s="12" t="s">
        <v>7</v>
      </c>
      <c r="I18" s="12" t="s">
        <v>8</v>
      </c>
      <c r="J18" s="12" t="s">
        <v>2</v>
      </c>
      <c r="K18" s="12" t="s">
        <v>3</v>
      </c>
      <c r="L18" s="12" t="s">
        <v>4</v>
      </c>
      <c r="M18" s="12" t="s">
        <v>5</v>
      </c>
      <c r="N18" s="12" t="s">
        <v>6</v>
      </c>
      <c r="O18" s="12" t="s">
        <v>7</v>
      </c>
      <c r="P18" s="12" t="s">
        <v>8</v>
      </c>
      <c r="Q18" s="12" t="s">
        <v>2</v>
      </c>
      <c r="R18" s="12" t="s">
        <v>3</v>
      </c>
      <c r="S18" s="12" t="s">
        <v>4</v>
      </c>
      <c r="T18" s="12" t="s">
        <v>5</v>
      </c>
      <c r="U18" s="12" t="s">
        <v>6</v>
      </c>
      <c r="V18" s="12" t="s">
        <v>7</v>
      </c>
      <c r="W18" s="12" t="s">
        <v>8</v>
      </c>
      <c r="X18" s="12" t="s">
        <v>2</v>
      </c>
      <c r="Y18" s="12" t="s">
        <v>3</v>
      </c>
      <c r="Z18" s="12" t="s">
        <v>4</v>
      </c>
      <c r="AA18" s="12" t="s">
        <v>5</v>
      </c>
      <c r="AB18" s="12" t="s">
        <v>6</v>
      </c>
      <c r="AC18" s="12" t="s">
        <v>7</v>
      </c>
      <c r="AD18" s="12" t="s">
        <v>8</v>
      </c>
      <c r="AE18" s="12" t="s">
        <v>2</v>
      </c>
      <c r="AF18" s="12" t="s">
        <v>3</v>
      </c>
      <c r="AG18" s="12" t="s">
        <v>4</v>
      </c>
      <c r="AH18" s="102"/>
      <c r="AI18" s="104"/>
    </row>
    <row r="19" spans="1:35" x14ac:dyDescent="0.25">
      <c r="A19" s="106" t="s">
        <v>35</v>
      </c>
      <c r="B19" s="124" t="s">
        <v>18</v>
      </c>
      <c r="C19" s="29" t="s">
        <v>48</v>
      </c>
      <c r="D19" s="7">
        <v>40</v>
      </c>
      <c r="E19" s="7">
        <v>56</v>
      </c>
      <c r="F19" s="7">
        <v>5</v>
      </c>
      <c r="G19" s="7">
        <v>23</v>
      </c>
      <c r="H19" s="7">
        <v>10</v>
      </c>
      <c r="I19" s="7" t="s">
        <v>9</v>
      </c>
      <c r="J19" s="7" t="s">
        <v>9</v>
      </c>
      <c r="K19" s="7">
        <v>13</v>
      </c>
      <c r="L19" s="7">
        <v>3</v>
      </c>
      <c r="M19" s="7">
        <v>2</v>
      </c>
      <c r="N19" s="7">
        <v>22</v>
      </c>
      <c r="O19" s="7">
        <v>2</v>
      </c>
      <c r="P19" s="20" t="s">
        <v>9</v>
      </c>
      <c r="Q19" s="7" t="s">
        <v>9</v>
      </c>
      <c r="R19" s="7">
        <v>1</v>
      </c>
      <c r="S19" s="7">
        <v>0</v>
      </c>
      <c r="T19" s="7">
        <v>6</v>
      </c>
      <c r="U19" s="7">
        <v>11</v>
      </c>
      <c r="V19" s="7">
        <v>10</v>
      </c>
      <c r="W19" s="7" t="s">
        <v>74</v>
      </c>
      <c r="X19" s="7" t="s">
        <v>9</v>
      </c>
      <c r="Y19" s="7">
        <v>9</v>
      </c>
      <c r="Z19" s="7">
        <v>30</v>
      </c>
      <c r="AA19" s="7">
        <v>9</v>
      </c>
      <c r="AB19" s="7">
        <v>14</v>
      </c>
      <c r="AC19" s="7">
        <v>12</v>
      </c>
      <c r="AD19" s="7" t="s">
        <v>9</v>
      </c>
      <c r="AE19" s="7" t="s">
        <v>9</v>
      </c>
      <c r="AF19" s="7">
        <v>19</v>
      </c>
      <c r="AG19" s="7">
        <v>53</v>
      </c>
      <c r="AH19" s="27">
        <f t="shared" ref="AH19:AH24" si="2">SUM(D19:AG19)</f>
        <v>350</v>
      </c>
      <c r="AI19" s="85">
        <f>SUM(AH19:AH24)</f>
        <v>848</v>
      </c>
    </row>
    <row r="20" spans="1:35" x14ac:dyDescent="0.25">
      <c r="A20" s="123"/>
      <c r="B20" s="125"/>
      <c r="C20" s="32" t="s">
        <v>50</v>
      </c>
      <c r="D20" s="14">
        <v>7</v>
      </c>
      <c r="E20" s="14">
        <v>5</v>
      </c>
      <c r="F20" s="14">
        <v>12</v>
      </c>
      <c r="G20" s="14">
        <v>10</v>
      </c>
      <c r="H20" s="14">
        <v>13</v>
      </c>
      <c r="I20" s="14" t="s">
        <v>9</v>
      </c>
      <c r="J20" s="14" t="s">
        <v>9</v>
      </c>
      <c r="K20" s="14">
        <v>4</v>
      </c>
      <c r="L20" s="14">
        <v>8</v>
      </c>
      <c r="M20" s="14">
        <v>2</v>
      </c>
      <c r="N20" s="14">
        <v>10</v>
      </c>
      <c r="O20" s="14">
        <v>9</v>
      </c>
      <c r="P20" s="22" t="s">
        <v>9</v>
      </c>
      <c r="Q20" s="14" t="s">
        <v>9</v>
      </c>
      <c r="R20" s="14">
        <v>9</v>
      </c>
      <c r="S20" s="14">
        <v>4</v>
      </c>
      <c r="T20" s="14">
        <v>9</v>
      </c>
      <c r="U20" s="14">
        <v>16</v>
      </c>
      <c r="V20" s="14">
        <v>7</v>
      </c>
      <c r="W20" s="14" t="s">
        <v>74</v>
      </c>
      <c r="X20" s="14" t="s">
        <v>9</v>
      </c>
      <c r="Y20" s="14">
        <v>16</v>
      </c>
      <c r="Z20" s="14">
        <v>5</v>
      </c>
      <c r="AA20" s="14">
        <v>11</v>
      </c>
      <c r="AB20" s="14">
        <v>7</v>
      </c>
      <c r="AC20" s="14">
        <v>7</v>
      </c>
      <c r="AD20" s="14" t="s">
        <v>9</v>
      </c>
      <c r="AE20" s="14" t="s">
        <v>9</v>
      </c>
      <c r="AF20" s="14">
        <v>5</v>
      </c>
      <c r="AG20" s="14">
        <v>5</v>
      </c>
      <c r="AH20" s="28">
        <f t="shared" si="2"/>
        <v>181</v>
      </c>
      <c r="AI20" s="122"/>
    </row>
    <row r="21" spans="1:35" x14ac:dyDescent="0.25">
      <c r="A21" s="123"/>
      <c r="B21" s="125"/>
      <c r="C21" s="32" t="s">
        <v>49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 t="s">
        <v>9</v>
      </c>
      <c r="J21" s="14" t="s">
        <v>9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22" t="s">
        <v>9</v>
      </c>
      <c r="Q21" s="14" t="s">
        <v>9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 t="s">
        <v>74</v>
      </c>
      <c r="X21" s="14" t="s">
        <v>9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 t="s">
        <v>9</v>
      </c>
      <c r="AE21" s="14" t="s">
        <v>9</v>
      </c>
      <c r="AF21" s="14">
        <v>0</v>
      </c>
      <c r="AG21" s="14">
        <v>0</v>
      </c>
      <c r="AH21" s="28">
        <f t="shared" si="2"/>
        <v>0</v>
      </c>
      <c r="AI21" s="122"/>
    </row>
    <row r="22" spans="1:35" x14ac:dyDescent="0.25">
      <c r="A22" s="123"/>
      <c r="B22" s="126"/>
      <c r="C22" s="32" t="s">
        <v>51</v>
      </c>
      <c r="D22" s="14">
        <v>1</v>
      </c>
      <c r="E22" s="14">
        <v>1</v>
      </c>
      <c r="F22" s="14">
        <v>0</v>
      </c>
      <c r="G22" s="14">
        <v>0</v>
      </c>
      <c r="H22" s="14">
        <v>1</v>
      </c>
      <c r="I22" s="14" t="s">
        <v>9</v>
      </c>
      <c r="J22" s="14" t="s">
        <v>9</v>
      </c>
      <c r="K22" s="14">
        <v>1</v>
      </c>
      <c r="L22" s="14">
        <v>2</v>
      </c>
      <c r="M22" s="14">
        <v>4</v>
      </c>
      <c r="N22" s="14">
        <v>1</v>
      </c>
      <c r="O22" s="14">
        <v>0</v>
      </c>
      <c r="P22" s="22" t="s">
        <v>9</v>
      </c>
      <c r="Q22" s="14" t="s">
        <v>9</v>
      </c>
      <c r="R22" s="14">
        <v>1</v>
      </c>
      <c r="S22" s="14">
        <v>3</v>
      </c>
      <c r="T22" s="14">
        <v>3</v>
      </c>
      <c r="U22" s="14">
        <v>3</v>
      </c>
      <c r="V22" s="14">
        <v>5</v>
      </c>
      <c r="W22" s="14" t="s">
        <v>74</v>
      </c>
      <c r="X22" s="14" t="s">
        <v>9</v>
      </c>
      <c r="Y22" s="14">
        <v>3</v>
      </c>
      <c r="Z22" s="14">
        <v>1</v>
      </c>
      <c r="AA22" s="14">
        <v>0</v>
      </c>
      <c r="AB22" s="14">
        <v>4</v>
      </c>
      <c r="AC22" s="14">
        <v>0</v>
      </c>
      <c r="AD22" s="14" t="s">
        <v>9</v>
      </c>
      <c r="AE22" s="14" t="s">
        <v>9</v>
      </c>
      <c r="AF22" s="14">
        <v>1</v>
      </c>
      <c r="AG22" s="14">
        <v>0</v>
      </c>
      <c r="AH22" s="28">
        <f t="shared" si="2"/>
        <v>35</v>
      </c>
      <c r="AI22" s="122"/>
    </row>
    <row r="23" spans="1:35" x14ac:dyDescent="0.25">
      <c r="A23" s="72"/>
      <c r="B23" s="127" t="s">
        <v>45</v>
      </c>
      <c r="C23" s="30" t="s">
        <v>46</v>
      </c>
      <c r="D23" s="3">
        <v>22</v>
      </c>
      <c r="E23" s="3">
        <v>26</v>
      </c>
      <c r="F23" s="3">
        <v>3</v>
      </c>
      <c r="G23" s="3">
        <v>26</v>
      </c>
      <c r="H23" s="3">
        <v>4</v>
      </c>
      <c r="I23" s="3" t="s">
        <v>9</v>
      </c>
      <c r="J23" s="3" t="s">
        <v>9</v>
      </c>
      <c r="K23" s="3">
        <v>5</v>
      </c>
      <c r="L23" s="3">
        <v>5</v>
      </c>
      <c r="M23" s="3">
        <v>7</v>
      </c>
      <c r="N23" s="3">
        <v>7</v>
      </c>
      <c r="O23" s="3">
        <v>7</v>
      </c>
      <c r="P23" s="17" t="s">
        <v>9</v>
      </c>
      <c r="Q23" s="3" t="s">
        <v>9</v>
      </c>
      <c r="R23" s="3">
        <v>11</v>
      </c>
      <c r="S23" s="3">
        <v>5</v>
      </c>
      <c r="T23" s="3">
        <v>7</v>
      </c>
      <c r="U23" s="3">
        <v>8</v>
      </c>
      <c r="V23" s="3">
        <v>11</v>
      </c>
      <c r="W23" s="3" t="s">
        <v>74</v>
      </c>
      <c r="X23" s="3" t="s">
        <v>9</v>
      </c>
      <c r="Y23" s="3">
        <v>15</v>
      </c>
      <c r="Z23" s="3">
        <v>11</v>
      </c>
      <c r="AA23" s="3">
        <v>5</v>
      </c>
      <c r="AB23" s="3">
        <v>32</v>
      </c>
      <c r="AC23" s="3">
        <v>7</v>
      </c>
      <c r="AD23" s="3" t="s">
        <v>9</v>
      </c>
      <c r="AE23" s="3" t="s">
        <v>9</v>
      </c>
      <c r="AF23" s="3">
        <v>7</v>
      </c>
      <c r="AG23" s="3">
        <v>43</v>
      </c>
      <c r="AH23" s="28">
        <f t="shared" si="2"/>
        <v>274</v>
      </c>
      <c r="AI23" s="86"/>
    </row>
    <row r="24" spans="1:35" ht="13.5" thickBot="1" x14ac:dyDescent="0.3">
      <c r="A24" s="107"/>
      <c r="B24" s="128"/>
      <c r="C24" s="31" t="s">
        <v>47</v>
      </c>
      <c r="D24" s="8">
        <v>0</v>
      </c>
      <c r="E24" s="8">
        <v>0</v>
      </c>
      <c r="F24" s="8">
        <v>0</v>
      </c>
      <c r="G24" s="8">
        <v>1</v>
      </c>
      <c r="H24" s="8">
        <v>0</v>
      </c>
      <c r="I24" s="8" t="s">
        <v>9</v>
      </c>
      <c r="J24" s="8" t="s">
        <v>9</v>
      </c>
      <c r="K24" s="8">
        <v>0</v>
      </c>
      <c r="L24" s="8">
        <v>1</v>
      </c>
      <c r="M24" s="8">
        <v>0</v>
      </c>
      <c r="N24" s="8">
        <v>0</v>
      </c>
      <c r="O24" s="3">
        <v>0</v>
      </c>
      <c r="P24" s="21" t="s">
        <v>9</v>
      </c>
      <c r="Q24" s="8" t="s">
        <v>9</v>
      </c>
      <c r="R24" s="8">
        <v>0</v>
      </c>
      <c r="S24" s="8">
        <v>4</v>
      </c>
      <c r="T24" s="8">
        <v>0</v>
      </c>
      <c r="U24" s="8">
        <v>0</v>
      </c>
      <c r="V24" s="3">
        <v>0</v>
      </c>
      <c r="W24" s="3" t="s">
        <v>74</v>
      </c>
      <c r="X24" s="8" t="s">
        <v>9</v>
      </c>
      <c r="Y24" s="8">
        <v>0</v>
      </c>
      <c r="Z24" s="8">
        <v>0</v>
      </c>
      <c r="AA24" s="8">
        <v>2</v>
      </c>
      <c r="AB24" s="8">
        <v>0</v>
      </c>
      <c r="AC24" s="3">
        <v>0</v>
      </c>
      <c r="AD24" s="8" t="s">
        <v>9</v>
      </c>
      <c r="AE24" s="8" t="s">
        <v>9</v>
      </c>
      <c r="AF24" s="8">
        <v>0</v>
      </c>
      <c r="AG24" s="8">
        <v>0</v>
      </c>
      <c r="AH24" s="26">
        <f t="shared" si="2"/>
        <v>8</v>
      </c>
      <c r="AI24" s="87"/>
    </row>
    <row r="25" spans="1:35" x14ac:dyDescent="0.25">
      <c r="A25" s="106" t="s">
        <v>39</v>
      </c>
      <c r="B25" s="124" t="s">
        <v>18</v>
      </c>
      <c r="C25" s="29" t="s">
        <v>48</v>
      </c>
      <c r="D25" s="7" t="s">
        <v>30</v>
      </c>
      <c r="E25" s="7" t="s">
        <v>30</v>
      </c>
      <c r="F25" s="7">
        <v>12</v>
      </c>
      <c r="G25" s="7">
        <v>11</v>
      </c>
      <c r="H25" s="7">
        <v>19</v>
      </c>
      <c r="I25" s="7" t="s">
        <v>9</v>
      </c>
      <c r="J25" s="7" t="s">
        <v>9</v>
      </c>
      <c r="K25" s="7">
        <v>15</v>
      </c>
      <c r="L25" s="7">
        <v>9</v>
      </c>
      <c r="M25" s="7">
        <v>26</v>
      </c>
      <c r="N25" s="7">
        <v>12</v>
      </c>
      <c r="O25" s="7">
        <v>2</v>
      </c>
      <c r="P25" s="7" t="s">
        <v>9</v>
      </c>
      <c r="Q25" s="20" t="s">
        <v>9</v>
      </c>
      <c r="R25" s="7">
        <v>1</v>
      </c>
      <c r="S25" s="7">
        <v>0</v>
      </c>
      <c r="T25" s="7">
        <v>8</v>
      </c>
      <c r="U25" s="7">
        <v>11</v>
      </c>
      <c r="V25" s="7">
        <v>15</v>
      </c>
      <c r="W25" s="7" t="s">
        <v>9</v>
      </c>
      <c r="X25" s="7" t="s">
        <v>9</v>
      </c>
      <c r="Y25" s="7">
        <v>18</v>
      </c>
      <c r="Z25" s="7">
        <v>29</v>
      </c>
      <c r="AA25" s="7">
        <v>7</v>
      </c>
      <c r="AB25" s="7">
        <v>27</v>
      </c>
      <c r="AC25" s="7">
        <v>6</v>
      </c>
      <c r="AD25" s="7" t="s">
        <v>9</v>
      </c>
      <c r="AE25" s="7" t="s">
        <v>9</v>
      </c>
      <c r="AF25" s="7">
        <v>44</v>
      </c>
      <c r="AG25" s="7">
        <v>33</v>
      </c>
      <c r="AH25" s="27">
        <f t="shared" ref="AH25:AH30" si="3">SUM(D25:AG25)</f>
        <v>305</v>
      </c>
      <c r="AI25" s="85">
        <f t="shared" ref="AI25" si="4">SUM(AH25:AH30)</f>
        <v>842</v>
      </c>
    </row>
    <row r="26" spans="1:35" x14ac:dyDescent="0.25">
      <c r="A26" s="72"/>
      <c r="B26" s="125"/>
      <c r="C26" s="32" t="s">
        <v>50</v>
      </c>
      <c r="D26" s="14" t="s">
        <v>30</v>
      </c>
      <c r="E26" s="14" t="s">
        <v>30</v>
      </c>
      <c r="F26" s="14">
        <v>1</v>
      </c>
      <c r="G26" s="14">
        <v>8</v>
      </c>
      <c r="H26" s="14">
        <v>14</v>
      </c>
      <c r="I26" s="14" t="s">
        <v>9</v>
      </c>
      <c r="J26" s="14" t="s">
        <v>9</v>
      </c>
      <c r="K26" s="14">
        <v>16</v>
      </c>
      <c r="L26" s="14">
        <v>17</v>
      </c>
      <c r="M26" s="14">
        <v>14</v>
      </c>
      <c r="N26" s="14">
        <v>0</v>
      </c>
      <c r="O26" s="14">
        <v>18</v>
      </c>
      <c r="P26" s="14" t="s">
        <v>9</v>
      </c>
      <c r="Q26" s="22" t="s">
        <v>9</v>
      </c>
      <c r="R26" s="14">
        <v>32</v>
      </c>
      <c r="S26" s="14">
        <v>23</v>
      </c>
      <c r="T26" s="14">
        <v>12</v>
      </c>
      <c r="U26" s="14">
        <v>10</v>
      </c>
      <c r="V26" s="14">
        <v>17</v>
      </c>
      <c r="W26" s="14" t="s">
        <v>9</v>
      </c>
      <c r="X26" s="14" t="s">
        <v>9</v>
      </c>
      <c r="Y26" s="14">
        <v>21</v>
      </c>
      <c r="Z26" s="14">
        <v>25</v>
      </c>
      <c r="AA26" s="14">
        <v>22</v>
      </c>
      <c r="AB26" s="14">
        <v>6</v>
      </c>
      <c r="AC26" s="14">
        <v>9</v>
      </c>
      <c r="AD26" s="14" t="s">
        <v>9</v>
      </c>
      <c r="AE26" s="14" t="s">
        <v>9</v>
      </c>
      <c r="AF26" s="14">
        <v>20</v>
      </c>
      <c r="AG26" s="14">
        <v>19</v>
      </c>
      <c r="AH26" s="28">
        <f t="shared" si="3"/>
        <v>304</v>
      </c>
      <c r="AI26" s="122"/>
    </row>
    <row r="27" spans="1:35" x14ac:dyDescent="0.25">
      <c r="A27" s="72"/>
      <c r="B27" s="125"/>
      <c r="C27" s="32" t="s">
        <v>49</v>
      </c>
      <c r="D27" s="14" t="s">
        <v>30</v>
      </c>
      <c r="E27" s="14" t="s">
        <v>30</v>
      </c>
      <c r="F27" s="14">
        <v>0</v>
      </c>
      <c r="G27" s="14">
        <v>0</v>
      </c>
      <c r="H27" s="14">
        <v>0</v>
      </c>
      <c r="I27" s="14" t="s">
        <v>9</v>
      </c>
      <c r="J27" s="14" t="s">
        <v>9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 t="s">
        <v>9</v>
      </c>
      <c r="Q27" s="22" t="s">
        <v>9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 t="s">
        <v>9</v>
      </c>
      <c r="X27" s="14" t="s">
        <v>9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 t="s">
        <v>9</v>
      </c>
      <c r="AE27" s="14" t="s">
        <v>9</v>
      </c>
      <c r="AF27" s="14">
        <v>0</v>
      </c>
      <c r="AG27" s="14">
        <v>0</v>
      </c>
      <c r="AH27" s="28">
        <f t="shared" si="3"/>
        <v>0</v>
      </c>
      <c r="AI27" s="122"/>
    </row>
    <row r="28" spans="1:35" x14ac:dyDescent="0.25">
      <c r="A28" s="72"/>
      <c r="B28" s="126"/>
      <c r="C28" s="32" t="s">
        <v>51</v>
      </c>
      <c r="D28" s="14" t="s">
        <v>30</v>
      </c>
      <c r="E28" s="14" t="s">
        <v>30</v>
      </c>
      <c r="F28" s="14">
        <v>0</v>
      </c>
      <c r="G28" s="14">
        <v>1</v>
      </c>
      <c r="H28" s="14">
        <v>1</v>
      </c>
      <c r="I28" s="14" t="s">
        <v>9</v>
      </c>
      <c r="J28" s="14" t="s">
        <v>9</v>
      </c>
      <c r="K28" s="14">
        <v>1</v>
      </c>
      <c r="L28" s="14">
        <v>2</v>
      </c>
      <c r="M28" s="14">
        <v>3</v>
      </c>
      <c r="N28" s="14">
        <v>3</v>
      </c>
      <c r="O28" s="14">
        <v>3</v>
      </c>
      <c r="P28" s="14" t="s">
        <v>9</v>
      </c>
      <c r="Q28" s="22" t="s">
        <v>9</v>
      </c>
      <c r="R28" s="14">
        <v>4</v>
      </c>
      <c r="S28" s="14">
        <v>1</v>
      </c>
      <c r="T28" s="14">
        <v>0</v>
      </c>
      <c r="U28" s="14">
        <v>1</v>
      </c>
      <c r="V28" s="14">
        <v>2</v>
      </c>
      <c r="W28" s="14" t="s">
        <v>9</v>
      </c>
      <c r="X28" s="14" t="s">
        <v>9</v>
      </c>
      <c r="Y28" s="14">
        <v>4</v>
      </c>
      <c r="Z28" s="14">
        <v>1</v>
      </c>
      <c r="AA28" s="14">
        <v>1</v>
      </c>
      <c r="AB28" s="14">
        <v>0</v>
      </c>
      <c r="AC28" s="14">
        <v>0</v>
      </c>
      <c r="AD28" s="14" t="s">
        <v>9</v>
      </c>
      <c r="AE28" s="14" t="s">
        <v>9</v>
      </c>
      <c r="AF28" s="14">
        <v>1</v>
      </c>
      <c r="AG28" s="14">
        <v>5</v>
      </c>
      <c r="AH28" s="28">
        <f t="shared" si="3"/>
        <v>34</v>
      </c>
      <c r="AI28" s="122"/>
    </row>
    <row r="29" spans="1:35" x14ac:dyDescent="0.25">
      <c r="A29" s="72"/>
      <c r="B29" s="127" t="s">
        <v>45</v>
      </c>
      <c r="C29" s="30" t="s">
        <v>46</v>
      </c>
      <c r="D29" s="3" t="s">
        <v>30</v>
      </c>
      <c r="E29" s="3" t="s">
        <v>30</v>
      </c>
      <c r="F29" s="3">
        <v>2</v>
      </c>
      <c r="G29" s="3">
        <v>21</v>
      </c>
      <c r="H29" s="3">
        <v>6</v>
      </c>
      <c r="I29" s="3" t="s">
        <v>9</v>
      </c>
      <c r="J29" s="3" t="s">
        <v>9</v>
      </c>
      <c r="K29" s="3">
        <v>6</v>
      </c>
      <c r="L29" s="3">
        <v>5</v>
      </c>
      <c r="M29" s="3">
        <v>15</v>
      </c>
      <c r="N29" s="3">
        <v>3</v>
      </c>
      <c r="O29" s="3">
        <v>4</v>
      </c>
      <c r="P29" s="3" t="s">
        <v>9</v>
      </c>
      <c r="Q29" s="17" t="s">
        <v>9</v>
      </c>
      <c r="R29" s="3">
        <v>7</v>
      </c>
      <c r="S29" s="3">
        <v>2</v>
      </c>
      <c r="T29" s="3">
        <v>6</v>
      </c>
      <c r="U29" s="3">
        <v>1</v>
      </c>
      <c r="V29" s="3">
        <v>5</v>
      </c>
      <c r="W29" s="3" t="s">
        <v>9</v>
      </c>
      <c r="X29" s="3" t="s">
        <v>9</v>
      </c>
      <c r="Y29" s="3">
        <v>25</v>
      </c>
      <c r="Z29" s="3">
        <v>13</v>
      </c>
      <c r="AA29" s="3">
        <v>8</v>
      </c>
      <c r="AB29" s="3">
        <v>35</v>
      </c>
      <c r="AC29" s="3">
        <v>5</v>
      </c>
      <c r="AD29" s="3" t="s">
        <v>9</v>
      </c>
      <c r="AE29" s="3" t="s">
        <v>9</v>
      </c>
      <c r="AF29" s="3">
        <v>3</v>
      </c>
      <c r="AG29" s="3">
        <v>25</v>
      </c>
      <c r="AH29" s="28">
        <f t="shared" si="3"/>
        <v>197</v>
      </c>
      <c r="AI29" s="86"/>
    </row>
    <row r="30" spans="1:35" ht="15" customHeight="1" thickBot="1" x14ac:dyDescent="0.3">
      <c r="A30" s="107"/>
      <c r="B30" s="128"/>
      <c r="C30" s="31" t="s">
        <v>47</v>
      </c>
      <c r="D30" s="8" t="s">
        <v>30</v>
      </c>
      <c r="E30" s="8" t="s">
        <v>30</v>
      </c>
      <c r="F30" s="8">
        <v>0</v>
      </c>
      <c r="G30" s="8">
        <v>0</v>
      </c>
      <c r="H30" s="8">
        <v>0</v>
      </c>
      <c r="I30" s="8" t="s">
        <v>9</v>
      </c>
      <c r="J30" s="8" t="s">
        <v>9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 t="s">
        <v>9</v>
      </c>
      <c r="Q30" s="21" t="s">
        <v>9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 t="s">
        <v>9</v>
      </c>
      <c r="X30" s="8" t="s">
        <v>9</v>
      </c>
      <c r="Y30" s="8">
        <v>0</v>
      </c>
      <c r="Z30" s="8">
        <v>1</v>
      </c>
      <c r="AA30" s="8">
        <v>0</v>
      </c>
      <c r="AB30" s="8">
        <v>1</v>
      </c>
      <c r="AC30" s="8">
        <v>0</v>
      </c>
      <c r="AD30" s="8" t="s">
        <v>9</v>
      </c>
      <c r="AE30" s="8" t="s">
        <v>9</v>
      </c>
      <c r="AF30" s="8">
        <v>0</v>
      </c>
      <c r="AG30" s="8">
        <v>0</v>
      </c>
      <c r="AH30" s="26">
        <f t="shared" si="3"/>
        <v>2</v>
      </c>
      <c r="AI30" s="87"/>
    </row>
    <row r="31" spans="1:35" x14ac:dyDescent="0.25">
      <c r="A31" s="142" t="s">
        <v>32</v>
      </c>
      <c r="B31" s="124" t="s">
        <v>18</v>
      </c>
      <c r="C31" s="29" t="s">
        <v>48</v>
      </c>
      <c r="D31" s="7" t="s">
        <v>10</v>
      </c>
      <c r="E31" s="7" t="s">
        <v>10</v>
      </c>
      <c r="F31" s="7">
        <v>8</v>
      </c>
      <c r="G31" s="7">
        <v>3</v>
      </c>
      <c r="H31" s="7">
        <v>2</v>
      </c>
      <c r="I31" s="7">
        <v>2</v>
      </c>
      <c r="J31" s="7">
        <v>20</v>
      </c>
      <c r="K31" s="7" t="s">
        <v>9</v>
      </c>
      <c r="L31" s="7">
        <v>16</v>
      </c>
      <c r="M31" s="7">
        <v>3</v>
      </c>
      <c r="N31" s="7">
        <v>4</v>
      </c>
      <c r="O31" s="7">
        <v>12</v>
      </c>
      <c r="P31" s="7" t="s">
        <v>9</v>
      </c>
      <c r="Q31" s="7" t="s">
        <v>9</v>
      </c>
      <c r="R31" s="7">
        <v>2</v>
      </c>
      <c r="S31" s="7">
        <v>1</v>
      </c>
      <c r="T31" s="7">
        <v>1</v>
      </c>
      <c r="U31" s="7">
        <v>5</v>
      </c>
      <c r="V31" s="7">
        <v>5</v>
      </c>
      <c r="W31" s="7">
        <v>6</v>
      </c>
      <c r="X31" s="7" t="s">
        <v>9</v>
      </c>
      <c r="Y31" s="7">
        <v>12</v>
      </c>
      <c r="Z31" s="7">
        <v>23</v>
      </c>
      <c r="AA31" s="7">
        <v>14</v>
      </c>
      <c r="AB31" s="7">
        <v>14</v>
      </c>
      <c r="AC31" s="7">
        <v>26</v>
      </c>
      <c r="AD31" s="7" t="s">
        <v>9</v>
      </c>
      <c r="AE31" s="7" t="s">
        <v>9</v>
      </c>
      <c r="AF31" s="7">
        <v>21</v>
      </c>
      <c r="AG31" s="7">
        <v>24</v>
      </c>
      <c r="AH31" s="27">
        <f t="shared" ref="AH31:AH35" si="5">SUM(D31:AG31)</f>
        <v>224</v>
      </c>
      <c r="AI31" s="85">
        <f t="shared" ref="AI31" si="6">SUM(AH31:AH36)</f>
        <v>618</v>
      </c>
    </row>
    <row r="32" spans="1:35" x14ac:dyDescent="0.25">
      <c r="A32" s="143"/>
      <c r="B32" s="125"/>
      <c r="C32" s="32" t="s">
        <v>50</v>
      </c>
      <c r="D32" s="14" t="s">
        <v>10</v>
      </c>
      <c r="E32" s="14" t="s">
        <v>10</v>
      </c>
      <c r="F32" s="14">
        <v>4</v>
      </c>
      <c r="G32" s="14">
        <v>11</v>
      </c>
      <c r="H32" s="14">
        <v>12</v>
      </c>
      <c r="I32" s="14">
        <v>14</v>
      </c>
      <c r="J32" s="14">
        <v>16</v>
      </c>
      <c r="K32" s="14" t="s">
        <v>9</v>
      </c>
      <c r="L32" s="14">
        <v>9</v>
      </c>
      <c r="M32" s="14">
        <v>14</v>
      </c>
      <c r="N32" s="14">
        <v>6</v>
      </c>
      <c r="O32" s="14">
        <v>7</v>
      </c>
      <c r="P32" s="14" t="s">
        <v>9</v>
      </c>
      <c r="Q32" s="14" t="s">
        <v>9</v>
      </c>
      <c r="R32" s="14">
        <v>17</v>
      </c>
      <c r="S32" s="14">
        <v>10</v>
      </c>
      <c r="T32" s="14">
        <v>7</v>
      </c>
      <c r="U32" s="14">
        <v>5</v>
      </c>
      <c r="V32" s="14">
        <v>9</v>
      </c>
      <c r="W32" s="14">
        <v>7</v>
      </c>
      <c r="X32" s="14" t="s">
        <v>9</v>
      </c>
      <c r="Y32" s="14">
        <v>16</v>
      </c>
      <c r="Z32" s="14">
        <v>7</v>
      </c>
      <c r="AA32" s="14">
        <v>17</v>
      </c>
      <c r="AB32" s="14">
        <v>7</v>
      </c>
      <c r="AC32" s="14">
        <v>21</v>
      </c>
      <c r="AD32" s="14" t="s">
        <v>9</v>
      </c>
      <c r="AE32" s="14" t="s">
        <v>9</v>
      </c>
      <c r="AF32" s="14">
        <v>7</v>
      </c>
      <c r="AG32" s="14">
        <v>4</v>
      </c>
      <c r="AH32" s="28">
        <f t="shared" si="5"/>
        <v>227</v>
      </c>
      <c r="AI32" s="122"/>
    </row>
    <row r="33" spans="1:35" x14ac:dyDescent="0.25">
      <c r="A33" s="143"/>
      <c r="B33" s="125"/>
      <c r="C33" s="32" t="s">
        <v>49</v>
      </c>
      <c r="D33" s="14" t="s">
        <v>10</v>
      </c>
      <c r="E33" s="14" t="s">
        <v>10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9</v>
      </c>
      <c r="L33" s="14">
        <v>0</v>
      </c>
      <c r="M33" s="14">
        <v>0</v>
      </c>
      <c r="N33" s="14">
        <v>0</v>
      </c>
      <c r="O33" s="14">
        <v>0</v>
      </c>
      <c r="P33" s="14" t="s">
        <v>9</v>
      </c>
      <c r="Q33" s="14" t="s">
        <v>9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 t="s">
        <v>9</v>
      </c>
      <c r="Y33" s="14">
        <v>0</v>
      </c>
      <c r="Z33" s="14">
        <v>0</v>
      </c>
      <c r="AA33" s="14">
        <v>0</v>
      </c>
      <c r="AB33" s="14">
        <v>0</v>
      </c>
      <c r="AC33" s="14">
        <v>1</v>
      </c>
      <c r="AD33" s="14" t="s">
        <v>9</v>
      </c>
      <c r="AE33" s="14" t="s">
        <v>9</v>
      </c>
      <c r="AF33" s="14">
        <v>0</v>
      </c>
      <c r="AG33" s="14">
        <v>0</v>
      </c>
      <c r="AH33" s="28">
        <f t="shared" si="5"/>
        <v>1</v>
      </c>
      <c r="AI33" s="122"/>
    </row>
    <row r="34" spans="1:35" x14ac:dyDescent="0.25">
      <c r="A34" s="143"/>
      <c r="B34" s="126"/>
      <c r="C34" s="32" t="s">
        <v>51</v>
      </c>
      <c r="D34" s="14" t="s">
        <v>10</v>
      </c>
      <c r="E34" s="14" t="s">
        <v>10</v>
      </c>
      <c r="F34" s="14">
        <v>1</v>
      </c>
      <c r="G34" s="14">
        <v>1</v>
      </c>
      <c r="H34" s="14">
        <v>1</v>
      </c>
      <c r="I34" s="14">
        <v>0</v>
      </c>
      <c r="J34" s="14">
        <v>0</v>
      </c>
      <c r="K34" s="14" t="s">
        <v>9</v>
      </c>
      <c r="L34" s="14">
        <v>1</v>
      </c>
      <c r="M34" s="14">
        <v>1</v>
      </c>
      <c r="N34" s="14">
        <v>0</v>
      </c>
      <c r="O34" s="14">
        <v>0</v>
      </c>
      <c r="P34" s="14" t="s">
        <v>9</v>
      </c>
      <c r="Q34" s="14" t="s">
        <v>9</v>
      </c>
      <c r="R34" s="14">
        <v>2</v>
      </c>
      <c r="S34" s="14">
        <v>0</v>
      </c>
      <c r="T34" s="14">
        <v>0</v>
      </c>
      <c r="U34" s="14">
        <v>0</v>
      </c>
      <c r="V34" s="14">
        <v>0</v>
      </c>
      <c r="W34" s="14">
        <v>3</v>
      </c>
      <c r="X34" s="14" t="s">
        <v>9</v>
      </c>
      <c r="Y34" s="14">
        <v>2</v>
      </c>
      <c r="Z34" s="14">
        <v>1</v>
      </c>
      <c r="AA34" s="14">
        <v>2</v>
      </c>
      <c r="AB34" s="14">
        <v>0</v>
      </c>
      <c r="AC34" s="14">
        <v>0</v>
      </c>
      <c r="AD34" s="14" t="s">
        <v>9</v>
      </c>
      <c r="AE34" s="14" t="s">
        <v>9</v>
      </c>
      <c r="AF34" s="14">
        <v>2</v>
      </c>
      <c r="AG34" s="14">
        <v>0</v>
      </c>
      <c r="AH34" s="28">
        <f t="shared" si="5"/>
        <v>17</v>
      </c>
      <c r="AI34" s="122"/>
    </row>
    <row r="35" spans="1:35" x14ac:dyDescent="0.25">
      <c r="A35" s="143"/>
      <c r="B35" s="127" t="s">
        <v>45</v>
      </c>
      <c r="C35" s="30" t="s">
        <v>46</v>
      </c>
      <c r="D35" s="3" t="s">
        <v>10</v>
      </c>
      <c r="E35" s="3" t="s">
        <v>10</v>
      </c>
      <c r="F35" s="3">
        <v>2</v>
      </c>
      <c r="G35" s="3">
        <v>5</v>
      </c>
      <c r="H35" s="3">
        <v>5</v>
      </c>
      <c r="I35" s="3">
        <v>4</v>
      </c>
      <c r="J35" s="3">
        <v>7</v>
      </c>
      <c r="K35" s="3" t="s">
        <v>9</v>
      </c>
      <c r="L35" s="3">
        <v>1</v>
      </c>
      <c r="M35" s="3">
        <v>2</v>
      </c>
      <c r="N35" s="3">
        <v>4</v>
      </c>
      <c r="O35" s="3">
        <v>6</v>
      </c>
      <c r="P35" s="3" t="s">
        <v>9</v>
      </c>
      <c r="Q35" s="3" t="s">
        <v>9</v>
      </c>
      <c r="R35" s="3">
        <v>5</v>
      </c>
      <c r="S35" s="3">
        <v>3</v>
      </c>
      <c r="T35" s="3">
        <v>6</v>
      </c>
      <c r="U35" s="2">
        <v>7</v>
      </c>
      <c r="V35" s="3">
        <v>2</v>
      </c>
      <c r="W35" s="3">
        <v>7</v>
      </c>
      <c r="X35" s="3" t="s">
        <v>9</v>
      </c>
      <c r="Y35" s="3">
        <v>15</v>
      </c>
      <c r="Z35" s="3">
        <v>8</v>
      </c>
      <c r="AA35" s="3">
        <v>6</v>
      </c>
      <c r="AB35" s="3">
        <v>6</v>
      </c>
      <c r="AC35" s="3">
        <v>11</v>
      </c>
      <c r="AD35" s="3" t="s">
        <v>9</v>
      </c>
      <c r="AE35" s="3" t="s">
        <v>9</v>
      </c>
      <c r="AF35" s="3">
        <v>6</v>
      </c>
      <c r="AG35" s="3">
        <v>15</v>
      </c>
      <c r="AH35" s="28">
        <f t="shared" si="5"/>
        <v>133</v>
      </c>
      <c r="AI35" s="86"/>
    </row>
    <row r="36" spans="1:35" ht="13.5" thickBot="1" x14ac:dyDescent="0.3">
      <c r="A36" s="144"/>
      <c r="B36" s="128"/>
      <c r="C36" s="31" t="s">
        <v>47</v>
      </c>
      <c r="D36" s="8" t="s">
        <v>10</v>
      </c>
      <c r="E36" s="8" t="s">
        <v>10</v>
      </c>
      <c r="F36" s="8">
        <v>0</v>
      </c>
      <c r="G36" s="8">
        <v>0</v>
      </c>
      <c r="H36" s="8">
        <v>1</v>
      </c>
      <c r="I36" s="8">
        <v>1</v>
      </c>
      <c r="J36" s="8">
        <v>1</v>
      </c>
      <c r="K36" s="8" t="s">
        <v>9</v>
      </c>
      <c r="L36" s="8">
        <v>0</v>
      </c>
      <c r="M36" s="8">
        <v>3</v>
      </c>
      <c r="N36" s="8">
        <v>0</v>
      </c>
      <c r="O36" s="8">
        <v>0</v>
      </c>
      <c r="P36" s="8" t="s">
        <v>9</v>
      </c>
      <c r="Q36" s="8" t="s">
        <v>9</v>
      </c>
      <c r="R36" s="8">
        <v>2</v>
      </c>
      <c r="S36" s="8">
        <v>1</v>
      </c>
      <c r="T36" s="8">
        <v>0</v>
      </c>
      <c r="U36" s="8">
        <v>0</v>
      </c>
      <c r="V36" s="8">
        <v>1</v>
      </c>
      <c r="W36" s="8">
        <v>0</v>
      </c>
      <c r="X36" s="8" t="s">
        <v>9</v>
      </c>
      <c r="Y36" s="8">
        <v>0</v>
      </c>
      <c r="Z36" s="8">
        <v>1</v>
      </c>
      <c r="AA36" s="8">
        <v>3</v>
      </c>
      <c r="AB36" s="8">
        <v>0</v>
      </c>
      <c r="AC36" s="8">
        <v>1</v>
      </c>
      <c r="AD36" s="8" t="s">
        <v>9</v>
      </c>
      <c r="AE36" s="8" t="s">
        <v>9</v>
      </c>
      <c r="AF36" s="8">
        <v>0</v>
      </c>
      <c r="AG36" s="8">
        <v>1</v>
      </c>
      <c r="AH36" s="26">
        <f>SUM(D36:AG36)</f>
        <v>16</v>
      </c>
      <c r="AI36" s="87"/>
    </row>
    <row r="37" spans="1:35" x14ac:dyDescent="0.25">
      <c r="A37" s="124" t="s">
        <v>52</v>
      </c>
      <c r="B37" s="124" t="s">
        <v>18</v>
      </c>
      <c r="C37" s="29" t="s">
        <v>48</v>
      </c>
      <c r="D37" s="7">
        <v>7</v>
      </c>
      <c r="E37" s="7">
        <v>70</v>
      </c>
      <c r="F37" s="7">
        <v>12</v>
      </c>
      <c r="G37" s="7">
        <v>11</v>
      </c>
      <c r="H37" s="7" t="s">
        <v>9</v>
      </c>
      <c r="I37" s="7">
        <v>9</v>
      </c>
      <c r="J37" s="7" t="s">
        <v>9</v>
      </c>
      <c r="K37" s="7">
        <v>13</v>
      </c>
      <c r="L37" s="7">
        <v>3</v>
      </c>
      <c r="M37" s="7">
        <v>1</v>
      </c>
      <c r="N37" s="7">
        <v>20</v>
      </c>
      <c r="O37" s="7">
        <v>3</v>
      </c>
      <c r="P37" s="7">
        <v>7</v>
      </c>
      <c r="Q37" s="7" t="s">
        <v>9</v>
      </c>
      <c r="R37" s="7">
        <v>2</v>
      </c>
      <c r="S37" s="7">
        <v>9</v>
      </c>
      <c r="T37" s="7">
        <v>13</v>
      </c>
      <c r="U37" s="7">
        <v>6</v>
      </c>
      <c r="V37" s="7">
        <v>6</v>
      </c>
      <c r="W37" s="7" t="s">
        <v>9</v>
      </c>
      <c r="X37" s="7">
        <v>9</v>
      </c>
      <c r="Y37" s="7">
        <v>7</v>
      </c>
      <c r="Z37" s="7">
        <v>24</v>
      </c>
      <c r="AA37" s="7" t="s">
        <v>9</v>
      </c>
      <c r="AB37" s="7">
        <v>21</v>
      </c>
      <c r="AC37" s="7">
        <v>9</v>
      </c>
      <c r="AD37" s="7">
        <v>9</v>
      </c>
      <c r="AE37" s="7" t="s">
        <v>9</v>
      </c>
      <c r="AF37" s="7">
        <v>12</v>
      </c>
      <c r="AG37" s="7">
        <v>24</v>
      </c>
      <c r="AH37" s="27">
        <f t="shared" ref="AH37:AH42" si="7">SUM(D37:AG37)</f>
        <v>307</v>
      </c>
      <c r="AI37" s="85">
        <f>SUM(AH37:AH42)</f>
        <v>603</v>
      </c>
    </row>
    <row r="38" spans="1:35" x14ac:dyDescent="0.25">
      <c r="A38" s="125"/>
      <c r="B38" s="125"/>
      <c r="C38" s="32" t="s">
        <v>50</v>
      </c>
      <c r="D38" s="14">
        <v>8</v>
      </c>
      <c r="E38" s="14">
        <v>7</v>
      </c>
      <c r="F38" s="14">
        <v>5</v>
      </c>
      <c r="G38" s="14">
        <v>4</v>
      </c>
      <c r="H38" s="14" t="s">
        <v>9</v>
      </c>
      <c r="I38" s="14">
        <v>5</v>
      </c>
      <c r="J38" s="14" t="s">
        <v>9</v>
      </c>
      <c r="K38" s="14">
        <v>9</v>
      </c>
      <c r="L38" s="14">
        <v>7</v>
      </c>
      <c r="M38" s="14">
        <v>6</v>
      </c>
      <c r="N38" s="14">
        <v>2</v>
      </c>
      <c r="O38" s="14">
        <v>1</v>
      </c>
      <c r="P38" s="14">
        <v>6</v>
      </c>
      <c r="Q38" s="14" t="s">
        <v>9</v>
      </c>
      <c r="R38" s="14">
        <v>5</v>
      </c>
      <c r="S38" s="14">
        <v>5</v>
      </c>
      <c r="T38" s="14">
        <v>7</v>
      </c>
      <c r="U38" s="14">
        <v>0</v>
      </c>
      <c r="V38" s="14">
        <v>2</v>
      </c>
      <c r="W38" s="14" t="s">
        <v>9</v>
      </c>
      <c r="X38" s="14">
        <v>11</v>
      </c>
      <c r="Y38" s="14">
        <v>5</v>
      </c>
      <c r="Z38" s="14">
        <v>5</v>
      </c>
      <c r="AA38" s="14" t="s">
        <v>9</v>
      </c>
      <c r="AB38" s="14">
        <v>3</v>
      </c>
      <c r="AC38" s="14">
        <v>3</v>
      </c>
      <c r="AD38" s="14">
        <v>6</v>
      </c>
      <c r="AE38" s="14" t="s">
        <v>9</v>
      </c>
      <c r="AF38" s="14">
        <v>3</v>
      </c>
      <c r="AG38" s="14">
        <v>4</v>
      </c>
      <c r="AH38" s="28">
        <f t="shared" si="7"/>
        <v>119</v>
      </c>
      <c r="AI38" s="122"/>
    </row>
    <row r="39" spans="1:35" x14ac:dyDescent="0.25">
      <c r="A39" s="125"/>
      <c r="B39" s="125"/>
      <c r="C39" s="32" t="s">
        <v>49</v>
      </c>
      <c r="D39" s="14">
        <v>0</v>
      </c>
      <c r="E39" s="14">
        <v>0</v>
      </c>
      <c r="F39" s="14">
        <v>0</v>
      </c>
      <c r="G39" s="14">
        <v>0</v>
      </c>
      <c r="H39" s="14" t="s">
        <v>9</v>
      </c>
      <c r="I39" s="14">
        <v>0</v>
      </c>
      <c r="J39" s="14" t="s">
        <v>9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 t="s">
        <v>9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 t="s">
        <v>9</v>
      </c>
      <c r="X39" s="14">
        <v>0</v>
      </c>
      <c r="Y39" s="14">
        <v>0</v>
      </c>
      <c r="Z39" s="14">
        <v>0</v>
      </c>
      <c r="AA39" s="14" t="s">
        <v>9</v>
      </c>
      <c r="AB39" s="14">
        <v>0</v>
      </c>
      <c r="AC39" s="14">
        <v>0</v>
      </c>
      <c r="AD39" s="14">
        <v>0</v>
      </c>
      <c r="AE39" s="14" t="s">
        <v>9</v>
      </c>
      <c r="AF39" s="14">
        <v>0</v>
      </c>
      <c r="AG39" s="14">
        <v>0</v>
      </c>
      <c r="AH39" s="28">
        <f t="shared" si="7"/>
        <v>0</v>
      </c>
      <c r="AI39" s="122"/>
    </row>
    <row r="40" spans="1:35" x14ac:dyDescent="0.25">
      <c r="A40" s="125"/>
      <c r="B40" s="126"/>
      <c r="C40" s="32" t="s">
        <v>51</v>
      </c>
      <c r="D40" s="14">
        <v>3</v>
      </c>
      <c r="E40" s="14">
        <v>2</v>
      </c>
      <c r="F40" s="14">
        <v>3</v>
      </c>
      <c r="G40" s="14">
        <v>4</v>
      </c>
      <c r="H40" s="14" t="s">
        <v>9</v>
      </c>
      <c r="I40" s="14">
        <v>0</v>
      </c>
      <c r="J40" s="14" t="s">
        <v>9</v>
      </c>
      <c r="K40" s="14">
        <v>0</v>
      </c>
      <c r="L40" s="14">
        <v>6</v>
      </c>
      <c r="M40" s="14">
        <v>0</v>
      </c>
      <c r="N40" s="14">
        <v>0</v>
      </c>
      <c r="O40" s="14">
        <v>0</v>
      </c>
      <c r="P40" s="14">
        <v>0</v>
      </c>
      <c r="Q40" s="14" t="s">
        <v>9</v>
      </c>
      <c r="R40" s="14">
        <v>1</v>
      </c>
      <c r="S40" s="14">
        <v>0</v>
      </c>
      <c r="T40" s="14">
        <v>2</v>
      </c>
      <c r="U40" s="14">
        <v>0</v>
      </c>
      <c r="V40" s="14">
        <v>0</v>
      </c>
      <c r="W40" s="14" t="s">
        <v>9</v>
      </c>
      <c r="X40" s="14">
        <v>3</v>
      </c>
      <c r="Y40" s="14">
        <v>5</v>
      </c>
      <c r="Z40" s="14">
        <v>0</v>
      </c>
      <c r="AA40" s="14" t="s">
        <v>9</v>
      </c>
      <c r="AB40" s="14">
        <v>2</v>
      </c>
      <c r="AC40" s="14">
        <v>0</v>
      </c>
      <c r="AD40" s="14">
        <v>3</v>
      </c>
      <c r="AE40" s="14" t="s">
        <v>9</v>
      </c>
      <c r="AF40" s="14">
        <v>0</v>
      </c>
      <c r="AG40" s="14">
        <v>0</v>
      </c>
      <c r="AH40" s="28">
        <f t="shared" si="7"/>
        <v>34</v>
      </c>
      <c r="AI40" s="122"/>
    </row>
    <row r="41" spans="1:35" x14ac:dyDescent="0.25">
      <c r="A41" s="125"/>
      <c r="B41" s="127" t="s">
        <v>45</v>
      </c>
      <c r="C41" s="30" t="s">
        <v>46</v>
      </c>
      <c r="D41" s="3">
        <v>9</v>
      </c>
      <c r="E41" s="3">
        <v>11</v>
      </c>
      <c r="F41" s="3">
        <v>4</v>
      </c>
      <c r="G41" s="3">
        <v>12</v>
      </c>
      <c r="H41" s="3" t="s">
        <v>9</v>
      </c>
      <c r="I41" s="3">
        <v>2</v>
      </c>
      <c r="J41" s="3" t="s">
        <v>9</v>
      </c>
      <c r="K41" s="3">
        <v>0</v>
      </c>
      <c r="L41" s="3">
        <v>9</v>
      </c>
      <c r="M41" s="3">
        <v>0</v>
      </c>
      <c r="N41" s="3">
        <v>0</v>
      </c>
      <c r="O41" s="3">
        <v>2</v>
      </c>
      <c r="P41" s="3">
        <v>2</v>
      </c>
      <c r="Q41" s="3" t="s">
        <v>9</v>
      </c>
      <c r="R41" s="3">
        <v>2</v>
      </c>
      <c r="S41" s="3">
        <v>0</v>
      </c>
      <c r="T41" s="3">
        <v>15</v>
      </c>
      <c r="U41" s="3">
        <v>0</v>
      </c>
      <c r="V41" s="3">
        <v>1</v>
      </c>
      <c r="W41" s="3" t="s">
        <v>9</v>
      </c>
      <c r="X41" s="3">
        <v>12</v>
      </c>
      <c r="Y41" s="3">
        <v>16</v>
      </c>
      <c r="Z41" s="3">
        <v>8</v>
      </c>
      <c r="AA41" s="3" t="s">
        <v>9</v>
      </c>
      <c r="AB41" s="3">
        <v>6</v>
      </c>
      <c r="AC41" s="3">
        <v>4</v>
      </c>
      <c r="AD41" s="3">
        <v>4</v>
      </c>
      <c r="AE41" s="3" t="s">
        <v>9</v>
      </c>
      <c r="AF41" s="3">
        <v>1</v>
      </c>
      <c r="AG41" s="3">
        <v>9</v>
      </c>
      <c r="AH41" s="28">
        <f t="shared" si="7"/>
        <v>129</v>
      </c>
      <c r="AI41" s="86"/>
    </row>
    <row r="42" spans="1:35" ht="13.5" thickBot="1" x14ac:dyDescent="0.3">
      <c r="A42" s="128"/>
      <c r="B42" s="128"/>
      <c r="C42" s="31" t="s">
        <v>47</v>
      </c>
      <c r="D42" s="8">
        <v>2</v>
      </c>
      <c r="E42" s="8">
        <v>0</v>
      </c>
      <c r="F42" s="8">
        <v>1</v>
      </c>
      <c r="G42" s="8">
        <v>2</v>
      </c>
      <c r="H42" s="8" t="s">
        <v>9</v>
      </c>
      <c r="I42" s="8">
        <v>1</v>
      </c>
      <c r="J42" s="8" t="s">
        <v>9</v>
      </c>
      <c r="K42" s="8">
        <v>0</v>
      </c>
      <c r="L42" s="8">
        <v>1</v>
      </c>
      <c r="M42" s="8">
        <v>0</v>
      </c>
      <c r="N42" s="8">
        <v>0</v>
      </c>
      <c r="O42" s="8">
        <v>0</v>
      </c>
      <c r="P42" s="8">
        <v>0</v>
      </c>
      <c r="Q42" s="8" t="s">
        <v>9</v>
      </c>
      <c r="R42" s="8">
        <v>0</v>
      </c>
      <c r="S42" s="8">
        <v>1</v>
      </c>
      <c r="T42" s="8">
        <v>0</v>
      </c>
      <c r="U42" s="8">
        <v>1</v>
      </c>
      <c r="V42" s="3">
        <v>3</v>
      </c>
      <c r="W42" s="8" t="s">
        <v>9</v>
      </c>
      <c r="X42" s="8">
        <v>0</v>
      </c>
      <c r="Y42" s="8">
        <v>1</v>
      </c>
      <c r="Z42" s="8">
        <v>1</v>
      </c>
      <c r="AA42" s="8" t="s">
        <v>9</v>
      </c>
      <c r="AB42" s="3">
        <v>0</v>
      </c>
      <c r="AC42" s="8">
        <v>0</v>
      </c>
      <c r="AD42" s="3">
        <v>0</v>
      </c>
      <c r="AE42" s="8" t="s">
        <v>9</v>
      </c>
      <c r="AF42" s="8">
        <v>0</v>
      </c>
      <c r="AG42" s="8">
        <v>0</v>
      </c>
      <c r="AH42" s="26">
        <f t="shared" si="7"/>
        <v>14</v>
      </c>
      <c r="AI42" s="87"/>
    </row>
    <row r="43" spans="1:35" x14ac:dyDescent="0.25">
      <c r="A43" s="89" t="s">
        <v>36</v>
      </c>
      <c r="B43" s="136" t="s">
        <v>18</v>
      </c>
      <c r="C43" s="29" t="s">
        <v>48</v>
      </c>
      <c r="D43" s="7">
        <v>12</v>
      </c>
      <c r="E43" s="7">
        <v>1</v>
      </c>
      <c r="F43" s="7">
        <v>2</v>
      </c>
      <c r="G43" s="7">
        <v>4</v>
      </c>
      <c r="H43" s="7">
        <v>23</v>
      </c>
      <c r="I43" s="7" t="s">
        <v>9</v>
      </c>
      <c r="J43" s="7" t="s">
        <v>9</v>
      </c>
      <c r="K43" s="7">
        <v>3</v>
      </c>
      <c r="L43" s="7">
        <v>1</v>
      </c>
      <c r="M43" s="7">
        <v>0</v>
      </c>
      <c r="N43" s="7">
        <v>1</v>
      </c>
      <c r="O43" s="7">
        <v>1</v>
      </c>
      <c r="P43" s="7">
        <v>2</v>
      </c>
      <c r="Q43" s="7" t="s">
        <v>9</v>
      </c>
      <c r="R43" s="7">
        <v>2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 t="s">
        <v>9</v>
      </c>
      <c r="Y43" s="7">
        <v>2</v>
      </c>
      <c r="Z43" s="7">
        <v>0</v>
      </c>
      <c r="AA43" s="7">
        <v>0</v>
      </c>
      <c r="AB43" s="7">
        <v>2</v>
      </c>
      <c r="AC43" s="7">
        <v>9</v>
      </c>
      <c r="AD43" s="7">
        <v>2</v>
      </c>
      <c r="AE43" s="7" t="s">
        <v>9</v>
      </c>
      <c r="AF43" s="7">
        <v>0</v>
      </c>
      <c r="AG43" s="7" t="s">
        <v>30</v>
      </c>
      <c r="AH43" s="27">
        <f t="shared" ref="AH43:AH48" si="8">SUM(D43:AG43)</f>
        <v>67</v>
      </c>
      <c r="AI43" s="85">
        <f>SUM(AH43:AH48)</f>
        <v>546</v>
      </c>
    </row>
    <row r="44" spans="1:35" x14ac:dyDescent="0.25">
      <c r="A44" s="121"/>
      <c r="B44" s="137"/>
      <c r="C44" s="32" t="s">
        <v>50</v>
      </c>
      <c r="D44" s="14">
        <v>5</v>
      </c>
      <c r="E44" s="14">
        <v>0</v>
      </c>
      <c r="F44" s="14">
        <v>1</v>
      </c>
      <c r="G44" s="14">
        <v>0</v>
      </c>
      <c r="H44" s="14">
        <v>0</v>
      </c>
      <c r="I44" s="14" t="s">
        <v>9</v>
      </c>
      <c r="J44" s="14" t="s">
        <v>9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 t="s">
        <v>9</v>
      </c>
      <c r="R44" s="14">
        <v>0</v>
      </c>
      <c r="S44" s="14">
        <v>0</v>
      </c>
      <c r="T44" s="14">
        <v>1</v>
      </c>
      <c r="U44" s="14">
        <v>1</v>
      </c>
      <c r="V44" s="14">
        <v>0</v>
      </c>
      <c r="W44" s="14">
        <v>0</v>
      </c>
      <c r="X44" s="14" t="s">
        <v>9</v>
      </c>
      <c r="Y44" s="14">
        <v>0</v>
      </c>
      <c r="Z44" s="14">
        <v>2</v>
      </c>
      <c r="AA44" s="14">
        <v>0</v>
      </c>
      <c r="AB44" s="14">
        <v>1</v>
      </c>
      <c r="AC44" s="14">
        <v>0</v>
      </c>
      <c r="AD44" s="14">
        <v>0</v>
      </c>
      <c r="AE44" s="14" t="s">
        <v>9</v>
      </c>
      <c r="AF44" s="14">
        <v>0</v>
      </c>
      <c r="AG44" s="14" t="s">
        <v>30</v>
      </c>
      <c r="AH44" s="28">
        <f t="shared" si="8"/>
        <v>11</v>
      </c>
      <c r="AI44" s="122"/>
    </row>
    <row r="45" spans="1:35" x14ac:dyDescent="0.25">
      <c r="A45" s="121"/>
      <c r="B45" s="137"/>
      <c r="C45" s="32" t="s">
        <v>49</v>
      </c>
      <c r="D45" s="14">
        <v>0</v>
      </c>
      <c r="E45" s="14">
        <v>0</v>
      </c>
      <c r="F45" s="14">
        <v>11</v>
      </c>
      <c r="G45" s="14">
        <v>13</v>
      </c>
      <c r="H45" s="14">
        <v>14</v>
      </c>
      <c r="I45" s="14" t="s">
        <v>9</v>
      </c>
      <c r="J45" s="14" t="s">
        <v>9</v>
      </c>
      <c r="K45" s="14">
        <v>6</v>
      </c>
      <c r="L45" s="14">
        <v>10</v>
      </c>
      <c r="M45" s="14">
        <v>6</v>
      </c>
      <c r="N45" s="14">
        <v>9</v>
      </c>
      <c r="O45" s="14">
        <v>31</v>
      </c>
      <c r="P45" s="14">
        <v>3</v>
      </c>
      <c r="Q45" s="14" t="s">
        <v>9</v>
      </c>
      <c r="R45" s="14">
        <v>5</v>
      </c>
      <c r="S45" s="14">
        <v>8</v>
      </c>
      <c r="T45" s="14">
        <v>15</v>
      </c>
      <c r="U45" s="14">
        <v>3</v>
      </c>
      <c r="V45" s="14">
        <v>3</v>
      </c>
      <c r="W45" s="14">
        <v>1</v>
      </c>
      <c r="X45" s="14" t="s">
        <v>9</v>
      </c>
      <c r="Y45" s="14">
        <v>22</v>
      </c>
      <c r="Z45" s="14">
        <v>15</v>
      </c>
      <c r="AA45" s="14">
        <v>12</v>
      </c>
      <c r="AB45" s="14">
        <v>12</v>
      </c>
      <c r="AC45" s="14">
        <v>5</v>
      </c>
      <c r="AD45" s="14">
        <v>8</v>
      </c>
      <c r="AE45" s="14" t="s">
        <v>9</v>
      </c>
      <c r="AF45" s="14">
        <v>2</v>
      </c>
      <c r="AG45" s="14" t="s">
        <v>30</v>
      </c>
      <c r="AH45" s="28">
        <f t="shared" si="8"/>
        <v>214</v>
      </c>
      <c r="AI45" s="122"/>
    </row>
    <row r="46" spans="1:35" x14ac:dyDescent="0.25">
      <c r="A46" s="121"/>
      <c r="B46" s="138"/>
      <c r="C46" s="32" t="s">
        <v>51</v>
      </c>
      <c r="D46" s="14">
        <v>3</v>
      </c>
      <c r="E46" s="14">
        <v>3</v>
      </c>
      <c r="F46" s="14">
        <v>4</v>
      </c>
      <c r="G46" s="14">
        <v>4</v>
      </c>
      <c r="H46" s="14">
        <v>5</v>
      </c>
      <c r="I46" s="14" t="s">
        <v>9</v>
      </c>
      <c r="J46" s="14" t="s">
        <v>9</v>
      </c>
      <c r="K46" s="14">
        <v>0</v>
      </c>
      <c r="L46" s="14">
        <v>11</v>
      </c>
      <c r="M46" s="14">
        <v>2</v>
      </c>
      <c r="N46" s="14">
        <v>3</v>
      </c>
      <c r="O46" s="14">
        <v>1</v>
      </c>
      <c r="P46" s="14">
        <v>2</v>
      </c>
      <c r="Q46" s="14" t="s">
        <v>9</v>
      </c>
      <c r="R46" s="14">
        <v>4</v>
      </c>
      <c r="S46" s="2">
        <v>7</v>
      </c>
      <c r="T46" s="14">
        <v>5</v>
      </c>
      <c r="U46" s="14">
        <v>1</v>
      </c>
      <c r="V46" s="14">
        <v>2</v>
      </c>
      <c r="W46" s="14">
        <v>3</v>
      </c>
      <c r="X46" s="14" t="s">
        <v>9</v>
      </c>
      <c r="Y46" s="14">
        <v>3</v>
      </c>
      <c r="Z46" s="14">
        <v>7</v>
      </c>
      <c r="AA46" s="14">
        <v>3</v>
      </c>
      <c r="AB46" s="14">
        <v>4</v>
      </c>
      <c r="AC46" s="14">
        <v>5</v>
      </c>
      <c r="AD46" s="14">
        <v>0</v>
      </c>
      <c r="AE46" s="14" t="s">
        <v>9</v>
      </c>
      <c r="AF46" s="14">
        <v>3</v>
      </c>
      <c r="AG46" s="14" t="s">
        <v>30</v>
      </c>
      <c r="AH46" s="28">
        <f t="shared" si="8"/>
        <v>85</v>
      </c>
      <c r="AI46" s="122"/>
    </row>
    <row r="47" spans="1:35" x14ac:dyDescent="0.25">
      <c r="A47" s="90"/>
      <c r="B47" s="139" t="s">
        <v>45</v>
      </c>
      <c r="C47" s="30" t="s">
        <v>46</v>
      </c>
      <c r="D47" s="3">
        <v>15</v>
      </c>
      <c r="E47" s="3">
        <v>7</v>
      </c>
      <c r="F47" s="3">
        <v>4</v>
      </c>
      <c r="G47" s="3">
        <v>5</v>
      </c>
      <c r="H47" s="3">
        <v>26</v>
      </c>
      <c r="I47" s="3" t="s">
        <v>9</v>
      </c>
      <c r="J47" s="3" t="s">
        <v>9</v>
      </c>
      <c r="K47" s="3">
        <v>4</v>
      </c>
      <c r="L47" s="3">
        <v>5</v>
      </c>
      <c r="M47" s="3">
        <v>1</v>
      </c>
      <c r="N47" s="3">
        <v>6</v>
      </c>
      <c r="O47" s="3">
        <v>7</v>
      </c>
      <c r="P47" s="3">
        <v>6</v>
      </c>
      <c r="Q47" s="3" t="s">
        <v>9</v>
      </c>
      <c r="R47" s="3">
        <v>11</v>
      </c>
      <c r="S47" s="3">
        <v>10</v>
      </c>
      <c r="T47" s="3">
        <v>5</v>
      </c>
      <c r="U47" s="3">
        <v>6</v>
      </c>
      <c r="V47" s="3">
        <v>5</v>
      </c>
      <c r="W47" s="3">
        <v>2</v>
      </c>
      <c r="X47" s="3" t="s">
        <v>9</v>
      </c>
      <c r="Y47" s="3">
        <v>5</v>
      </c>
      <c r="Z47" s="3">
        <v>10</v>
      </c>
      <c r="AA47" s="3">
        <v>5</v>
      </c>
      <c r="AB47" s="3">
        <v>1</v>
      </c>
      <c r="AC47" s="3">
        <v>12</v>
      </c>
      <c r="AD47" s="3">
        <v>2</v>
      </c>
      <c r="AE47" s="3" t="s">
        <v>9</v>
      </c>
      <c r="AF47" s="3">
        <v>3</v>
      </c>
      <c r="AG47" s="3" t="s">
        <v>30</v>
      </c>
      <c r="AH47" s="28">
        <f t="shared" si="8"/>
        <v>163</v>
      </c>
      <c r="AI47" s="86"/>
    </row>
    <row r="48" spans="1:35" ht="13.5" thickBot="1" x14ac:dyDescent="0.3">
      <c r="A48" s="91"/>
      <c r="B48" s="140"/>
      <c r="C48" s="31" t="s">
        <v>47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 t="s">
        <v>9</v>
      </c>
      <c r="J48" s="8" t="s">
        <v>9</v>
      </c>
      <c r="K48" s="8">
        <v>0</v>
      </c>
      <c r="L48" s="8">
        <v>2</v>
      </c>
      <c r="M48" s="8">
        <v>0</v>
      </c>
      <c r="N48" s="8">
        <v>0</v>
      </c>
      <c r="O48" s="3">
        <v>0</v>
      </c>
      <c r="P48" s="8">
        <v>0</v>
      </c>
      <c r="Q48" s="8" t="s">
        <v>9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3">
        <v>1</v>
      </c>
      <c r="X48" s="8" t="s">
        <v>9</v>
      </c>
      <c r="Y48" s="8">
        <v>0</v>
      </c>
      <c r="Z48" s="8">
        <v>1</v>
      </c>
      <c r="AA48" s="8">
        <v>1</v>
      </c>
      <c r="AB48" s="8">
        <v>0</v>
      </c>
      <c r="AC48" s="8">
        <v>0</v>
      </c>
      <c r="AD48" s="3">
        <v>0</v>
      </c>
      <c r="AE48" s="8" t="s">
        <v>9</v>
      </c>
      <c r="AF48" s="8">
        <v>0</v>
      </c>
      <c r="AG48" s="8" t="s">
        <v>30</v>
      </c>
      <c r="AH48" s="26">
        <f t="shared" si="8"/>
        <v>6</v>
      </c>
      <c r="AI48" s="87"/>
    </row>
    <row r="49" spans="1:35" x14ac:dyDescent="0.25">
      <c r="A49" s="129" t="s">
        <v>65</v>
      </c>
      <c r="B49" s="124" t="s">
        <v>18</v>
      </c>
      <c r="C49" s="29" t="s">
        <v>48</v>
      </c>
      <c r="D49" s="7">
        <v>10</v>
      </c>
      <c r="E49" s="7">
        <v>70</v>
      </c>
      <c r="F49" s="7">
        <v>3</v>
      </c>
      <c r="G49" s="7">
        <v>7</v>
      </c>
      <c r="H49" s="7">
        <v>4</v>
      </c>
      <c r="I49" s="7">
        <v>18</v>
      </c>
      <c r="J49" s="7" t="s">
        <v>9</v>
      </c>
      <c r="K49" s="7">
        <v>1</v>
      </c>
      <c r="L49" s="7">
        <v>1</v>
      </c>
      <c r="M49" s="7">
        <v>1</v>
      </c>
      <c r="N49" s="7">
        <v>4</v>
      </c>
      <c r="O49" s="7">
        <v>29</v>
      </c>
      <c r="P49" s="7" t="s">
        <v>9</v>
      </c>
      <c r="Q49" s="20" t="s">
        <v>9</v>
      </c>
      <c r="R49" s="7">
        <v>1</v>
      </c>
      <c r="S49" s="7">
        <v>1</v>
      </c>
      <c r="T49" s="7">
        <v>1</v>
      </c>
      <c r="U49" s="7">
        <v>3</v>
      </c>
      <c r="V49" s="7">
        <v>1</v>
      </c>
      <c r="W49" s="7">
        <f>24+14</f>
        <v>38</v>
      </c>
      <c r="X49" s="7" t="s">
        <v>9</v>
      </c>
      <c r="Y49" s="7">
        <v>2</v>
      </c>
      <c r="Z49" s="7">
        <v>6</v>
      </c>
      <c r="AA49" s="7">
        <v>0</v>
      </c>
      <c r="AB49" s="7">
        <v>1</v>
      </c>
      <c r="AC49" s="7">
        <v>22</v>
      </c>
      <c r="AD49" s="7" t="s">
        <v>9</v>
      </c>
      <c r="AE49" s="7">
        <v>0</v>
      </c>
      <c r="AF49" s="7">
        <v>18</v>
      </c>
      <c r="AG49" s="7" t="s">
        <v>9</v>
      </c>
      <c r="AH49" s="7">
        <f t="shared" ref="AH49:AH54" si="9">SUM(D49:AG49)</f>
        <v>242</v>
      </c>
      <c r="AI49" s="85">
        <f>SUM(AH49:AH54)</f>
        <v>542</v>
      </c>
    </row>
    <row r="50" spans="1:35" x14ac:dyDescent="0.25">
      <c r="A50" s="126"/>
      <c r="B50" s="125"/>
      <c r="C50" s="32" t="s">
        <v>50</v>
      </c>
      <c r="D50" s="14">
        <v>1</v>
      </c>
      <c r="E50" s="3">
        <v>1</v>
      </c>
      <c r="F50" s="3">
        <v>2</v>
      </c>
      <c r="G50" s="3">
        <v>2</v>
      </c>
      <c r="H50" s="14">
        <v>4</v>
      </c>
      <c r="I50" s="14">
        <v>1</v>
      </c>
      <c r="J50" s="14" t="s">
        <v>9</v>
      </c>
      <c r="K50" s="14">
        <v>6</v>
      </c>
      <c r="L50" s="3">
        <v>1</v>
      </c>
      <c r="M50" s="3">
        <v>5</v>
      </c>
      <c r="N50" s="3">
        <v>3</v>
      </c>
      <c r="O50" s="3">
        <v>9</v>
      </c>
      <c r="P50" s="3" t="s">
        <v>9</v>
      </c>
      <c r="Q50" s="22" t="s">
        <v>9</v>
      </c>
      <c r="R50" s="14">
        <v>9</v>
      </c>
      <c r="S50" s="14">
        <v>2</v>
      </c>
      <c r="T50" s="14">
        <v>5</v>
      </c>
      <c r="U50" s="3">
        <v>3</v>
      </c>
      <c r="V50" s="14">
        <v>5</v>
      </c>
      <c r="W50" s="14">
        <v>1</v>
      </c>
      <c r="X50" s="14" t="s">
        <v>9</v>
      </c>
      <c r="Y50" s="14">
        <v>3</v>
      </c>
      <c r="Z50" s="3">
        <v>2</v>
      </c>
      <c r="AA50" s="3">
        <v>2</v>
      </c>
      <c r="AB50" s="3">
        <v>6</v>
      </c>
      <c r="AC50" s="3">
        <v>1</v>
      </c>
      <c r="AD50" s="14" t="s">
        <v>9</v>
      </c>
      <c r="AE50" s="14">
        <v>19</v>
      </c>
      <c r="AF50" s="14">
        <v>2</v>
      </c>
      <c r="AG50" s="14" t="s">
        <v>9</v>
      </c>
      <c r="AH50" s="3">
        <f t="shared" si="9"/>
        <v>95</v>
      </c>
      <c r="AI50" s="122"/>
    </row>
    <row r="51" spans="1:35" x14ac:dyDescent="0.25">
      <c r="A51" s="126"/>
      <c r="B51" s="125"/>
      <c r="C51" s="32" t="s">
        <v>49</v>
      </c>
      <c r="D51" s="14">
        <v>0</v>
      </c>
      <c r="E51" s="3">
        <v>0</v>
      </c>
      <c r="F51" s="3">
        <v>0</v>
      </c>
      <c r="G51" s="3">
        <v>0</v>
      </c>
      <c r="H51" s="14">
        <v>0</v>
      </c>
      <c r="I51" s="14">
        <v>0</v>
      </c>
      <c r="J51" s="14" t="s">
        <v>9</v>
      </c>
      <c r="K51" s="14">
        <v>0</v>
      </c>
      <c r="L51" s="3">
        <v>0</v>
      </c>
      <c r="M51" s="3">
        <v>0</v>
      </c>
      <c r="N51" s="3">
        <v>0</v>
      </c>
      <c r="O51" s="3">
        <v>0</v>
      </c>
      <c r="P51" s="3" t="s">
        <v>9</v>
      </c>
      <c r="Q51" s="22" t="s">
        <v>9</v>
      </c>
      <c r="R51" s="14">
        <v>0</v>
      </c>
      <c r="S51" s="14">
        <v>0</v>
      </c>
      <c r="T51" s="14">
        <v>0</v>
      </c>
      <c r="U51" s="3">
        <v>0</v>
      </c>
      <c r="V51" s="14">
        <v>0</v>
      </c>
      <c r="W51" s="14">
        <v>0</v>
      </c>
      <c r="X51" s="14" t="s">
        <v>9</v>
      </c>
      <c r="Y51" s="14">
        <v>0</v>
      </c>
      <c r="Z51" s="3">
        <v>0</v>
      </c>
      <c r="AA51" s="3">
        <v>0</v>
      </c>
      <c r="AB51" s="3">
        <v>0</v>
      </c>
      <c r="AC51" s="3">
        <v>0</v>
      </c>
      <c r="AD51" s="14" t="s">
        <v>9</v>
      </c>
      <c r="AE51" s="14">
        <v>0</v>
      </c>
      <c r="AF51" s="14">
        <v>0</v>
      </c>
      <c r="AG51" s="14" t="s">
        <v>9</v>
      </c>
      <c r="AH51" s="3">
        <f t="shared" si="9"/>
        <v>0</v>
      </c>
      <c r="AI51" s="122"/>
    </row>
    <row r="52" spans="1:35" x14ac:dyDescent="0.25">
      <c r="A52" s="126"/>
      <c r="B52" s="126"/>
      <c r="C52" s="32" t="s">
        <v>51</v>
      </c>
      <c r="D52" s="14">
        <v>2</v>
      </c>
      <c r="E52" s="3">
        <v>0</v>
      </c>
      <c r="F52" s="3">
        <v>1</v>
      </c>
      <c r="G52" s="3">
        <v>1</v>
      </c>
      <c r="H52" s="14">
        <v>2</v>
      </c>
      <c r="I52" s="14">
        <v>2</v>
      </c>
      <c r="J52" s="14" t="s">
        <v>9</v>
      </c>
      <c r="K52" s="14">
        <v>3</v>
      </c>
      <c r="L52" s="3">
        <v>0</v>
      </c>
      <c r="M52" s="3">
        <v>1</v>
      </c>
      <c r="N52" s="3">
        <v>2</v>
      </c>
      <c r="O52" s="3">
        <v>5</v>
      </c>
      <c r="P52" s="3" t="s">
        <v>9</v>
      </c>
      <c r="Q52" s="22" t="s">
        <v>9</v>
      </c>
      <c r="R52" s="14">
        <v>5</v>
      </c>
      <c r="S52" s="14">
        <v>1</v>
      </c>
      <c r="T52" s="14">
        <v>4</v>
      </c>
      <c r="U52" s="3">
        <v>4</v>
      </c>
      <c r="V52" s="14">
        <v>2</v>
      </c>
      <c r="W52" s="14">
        <v>1</v>
      </c>
      <c r="X52" s="14" t="s">
        <v>9</v>
      </c>
      <c r="Y52" s="14">
        <v>4</v>
      </c>
      <c r="Z52" s="3">
        <v>0</v>
      </c>
      <c r="AA52" s="3">
        <v>0</v>
      </c>
      <c r="AB52" s="3">
        <v>1</v>
      </c>
      <c r="AC52" s="3">
        <v>0</v>
      </c>
      <c r="AD52" s="14" t="s">
        <v>9</v>
      </c>
      <c r="AE52" s="14">
        <v>2</v>
      </c>
      <c r="AF52" s="14">
        <v>2</v>
      </c>
      <c r="AG52" s="14" t="s">
        <v>9</v>
      </c>
      <c r="AH52" s="3">
        <f t="shared" si="9"/>
        <v>45</v>
      </c>
      <c r="AI52" s="122"/>
    </row>
    <row r="53" spans="1:35" x14ac:dyDescent="0.25">
      <c r="A53" s="130"/>
      <c r="B53" s="127" t="s">
        <v>45</v>
      </c>
      <c r="C53" s="30" t="s">
        <v>46</v>
      </c>
      <c r="D53" s="3">
        <v>9</v>
      </c>
      <c r="E53" s="3">
        <v>7</v>
      </c>
      <c r="F53" s="3">
        <v>6</v>
      </c>
      <c r="G53" s="3">
        <v>2</v>
      </c>
      <c r="H53" s="3">
        <v>3</v>
      </c>
      <c r="I53" s="3">
        <v>4</v>
      </c>
      <c r="J53" s="3" t="s">
        <v>9</v>
      </c>
      <c r="K53" s="3">
        <v>8</v>
      </c>
      <c r="L53" s="3">
        <v>2</v>
      </c>
      <c r="M53" s="3">
        <v>4</v>
      </c>
      <c r="N53" s="3">
        <v>4</v>
      </c>
      <c r="O53" s="3">
        <v>11</v>
      </c>
      <c r="P53" s="3" t="s">
        <v>9</v>
      </c>
      <c r="Q53" s="17" t="s">
        <v>9</v>
      </c>
      <c r="R53" s="3">
        <v>6</v>
      </c>
      <c r="S53" s="3">
        <v>6</v>
      </c>
      <c r="T53" s="3">
        <v>9</v>
      </c>
      <c r="U53" s="3">
        <v>8</v>
      </c>
      <c r="V53" s="3">
        <v>4</v>
      </c>
      <c r="W53" s="3">
        <v>13</v>
      </c>
      <c r="X53" s="3" t="s">
        <v>9</v>
      </c>
      <c r="Y53" s="3">
        <v>7</v>
      </c>
      <c r="Z53" s="3">
        <v>4</v>
      </c>
      <c r="AA53" s="3">
        <v>1</v>
      </c>
      <c r="AB53" s="3">
        <v>4</v>
      </c>
      <c r="AC53" s="3">
        <v>5</v>
      </c>
      <c r="AD53" s="3" t="s">
        <v>9</v>
      </c>
      <c r="AE53" s="3">
        <v>26</v>
      </c>
      <c r="AF53" s="3">
        <v>5</v>
      </c>
      <c r="AG53" s="3" t="s">
        <v>9</v>
      </c>
      <c r="AH53" s="3">
        <f t="shared" si="9"/>
        <v>158</v>
      </c>
      <c r="AI53" s="86"/>
    </row>
    <row r="54" spans="1:35" ht="13.5" thickBot="1" x14ac:dyDescent="0.3">
      <c r="A54" s="131"/>
      <c r="B54" s="128"/>
      <c r="C54" s="31" t="s">
        <v>47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 t="s">
        <v>9</v>
      </c>
      <c r="K54" s="8">
        <v>1</v>
      </c>
      <c r="L54" s="8">
        <v>0</v>
      </c>
      <c r="M54" s="8">
        <v>0</v>
      </c>
      <c r="N54" s="8">
        <v>0</v>
      </c>
      <c r="O54" s="8">
        <v>0</v>
      </c>
      <c r="P54" s="8" t="s">
        <v>9</v>
      </c>
      <c r="Q54" s="21" t="s">
        <v>9</v>
      </c>
      <c r="R54" s="8">
        <v>0</v>
      </c>
      <c r="S54" s="8">
        <v>0</v>
      </c>
      <c r="T54" s="8">
        <v>0</v>
      </c>
      <c r="U54" s="8">
        <v>0</v>
      </c>
      <c r="V54" s="3">
        <v>0</v>
      </c>
      <c r="W54" s="3">
        <v>0</v>
      </c>
      <c r="X54" s="8" t="s">
        <v>9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 t="s">
        <v>9</v>
      </c>
      <c r="AE54" s="8">
        <v>0</v>
      </c>
      <c r="AF54" s="8">
        <v>1</v>
      </c>
      <c r="AG54" s="8" t="s">
        <v>9</v>
      </c>
      <c r="AH54" s="8">
        <f t="shared" si="9"/>
        <v>2</v>
      </c>
      <c r="AI54" s="87"/>
    </row>
    <row r="55" spans="1:35" x14ac:dyDescent="0.25">
      <c r="A55" s="89" t="s">
        <v>22</v>
      </c>
      <c r="B55" s="124" t="s">
        <v>18</v>
      </c>
      <c r="C55" s="29" t="s">
        <v>48</v>
      </c>
      <c r="D55" s="7">
        <v>9</v>
      </c>
      <c r="E55" s="7">
        <v>69</v>
      </c>
      <c r="F55" s="7">
        <v>6</v>
      </c>
      <c r="G55" s="7">
        <v>14</v>
      </c>
      <c r="H55" s="7">
        <v>8</v>
      </c>
      <c r="I55" s="7">
        <v>1</v>
      </c>
      <c r="J55" s="7" t="s">
        <v>9</v>
      </c>
      <c r="K55" s="7">
        <v>0</v>
      </c>
      <c r="L55" s="7">
        <v>2</v>
      </c>
      <c r="M55" s="7">
        <v>0</v>
      </c>
      <c r="N55" s="7">
        <v>1</v>
      </c>
      <c r="O55" s="7">
        <v>0</v>
      </c>
      <c r="P55" s="7" t="s">
        <v>9</v>
      </c>
      <c r="Q55" s="20" t="s">
        <v>9</v>
      </c>
      <c r="R55" s="7">
        <v>0</v>
      </c>
      <c r="S55" s="7">
        <v>0</v>
      </c>
      <c r="T55" s="7">
        <v>0</v>
      </c>
      <c r="U55" s="7">
        <v>2</v>
      </c>
      <c r="V55" s="7">
        <v>12</v>
      </c>
      <c r="W55" s="7">
        <v>4</v>
      </c>
      <c r="X55" s="7" t="s">
        <v>9</v>
      </c>
      <c r="Y55" s="7">
        <v>17</v>
      </c>
      <c r="Z55" s="7">
        <v>9</v>
      </c>
      <c r="AA55" s="14">
        <v>15</v>
      </c>
      <c r="AB55" s="7">
        <v>2</v>
      </c>
      <c r="AC55" s="7">
        <v>15</v>
      </c>
      <c r="AD55" s="7" t="s">
        <v>9</v>
      </c>
      <c r="AE55" s="7" t="s">
        <v>9</v>
      </c>
      <c r="AF55" s="7">
        <v>5</v>
      </c>
      <c r="AG55" s="7">
        <v>12</v>
      </c>
      <c r="AH55" s="27">
        <f t="shared" ref="AH55:AH60" si="10">SUM(D55:AG55)</f>
        <v>203</v>
      </c>
      <c r="AI55" s="85">
        <f>SUM(AH55:AH60)</f>
        <v>379</v>
      </c>
    </row>
    <row r="56" spans="1:35" x14ac:dyDescent="0.25">
      <c r="A56" s="121"/>
      <c r="B56" s="125"/>
      <c r="C56" s="32" t="s">
        <v>50</v>
      </c>
      <c r="D56" s="14">
        <v>8</v>
      </c>
      <c r="E56" s="14">
        <v>4</v>
      </c>
      <c r="F56" s="14">
        <v>0</v>
      </c>
      <c r="G56" s="14">
        <v>3</v>
      </c>
      <c r="H56" s="14">
        <v>3</v>
      </c>
      <c r="I56" s="14">
        <v>4</v>
      </c>
      <c r="J56" s="14" t="s">
        <v>9</v>
      </c>
      <c r="K56" s="14">
        <v>5</v>
      </c>
      <c r="L56" s="14">
        <v>4</v>
      </c>
      <c r="M56" s="14">
        <v>0</v>
      </c>
      <c r="N56" s="14">
        <v>0</v>
      </c>
      <c r="O56" s="14">
        <v>0</v>
      </c>
      <c r="P56" s="14" t="s">
        <v>9</v>
      </c>
      <c r="Q56" s="22" t="s">
        <v>9</v>
      </c>
      <c r="R56" s="14">
        <v>2</v>
      </c>
      <c r="S56" s="14">
        <v>0</v>
      </c>
      <c r="T56" s="14">
        <v>2</v>
      </c>
      <c r="U56" s="14">
        <v>0</v>
      </c>
      <c r="V56" s="14">
        <v>3</v>
      </c>
      <c r="W56" s="14">
        <v>10</v>
      </c>
      <c r="X56" s="14" t="s">
        <v>9</v>
      </c>
      <c r="Y56" s="14">
        <v>13</v>
      </c>
      <c r="Z56" s="14">
        <v>2</v>
      </c>
      <c r="AA56" s="3">
        <v>4</v>
      </c>
      <c r="AB56" s="14">
        <v>3</v>
      </c>
      <c r="AC56" s="14">
        <v>6</v>
      </c>
      <c r="AD56" s="14" t="s">
        <v>9</v>
      </c>
      <c r="AE56" s="14" t="s">
        <v>9</v>
      </c>
      <c r="AF56" s="14">
        <v>1</v>
      </c>
      <c r="AG56" s="14">
        <v>1</v>
      </c>
      <c r="AH56" s="28">
        <f t="shared" si="10"/>
        <v>78</v>
      </c>
      <c r="AI56" s="122"/>
    </row>
    <row r="57" spans="1:35" x14ac:dyDescent="0.25">
      <c r="A57" s="121"/>
      <c r="B57" s="125"/>
      <c r="C57" s="32" t="s">
        <v>49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 t="s">
        <v>9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 t="s">
        <v>9</v>
      </c>
      <c r="Q57" s="22" t="s">
        <v>9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 t="s">
        <v>9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 t="s">
        <v>9</v>
      </c>
      <c r="AE57" s="14" t="s">
        <v>9</v>
      </c>
      <c r="AF57" s="14">
        <v>0</v>
      </c>
      <c r="AG57" s="14">
        <v>0</v>
      </c>
      <c r="AH57" s="28">
        <f t="shared" si="10"/>
        <v>0</v>
      </c>
      <c r="AI57" s="122"/>
    </row>
    <row r="58" spans="1:35" x14ac:dyDescent="0.25">
      <c r="A58" s="121"/>
      <c r="B58" s="126"/>
      <c r="C58" s="32" t="s">
        <v>51</v>
      </c>
      <c r="D58" s="14">
        <v>0</v>
      </c>
      <c r="E58" s="14">
        <v>1</v>
      </c>
      <c r="F58" s="14">
        <v>1</v>
      </c>
      <c r="G58" s="14">
        <v>0</v>
      </c>
      <c r="H58" s="14">
        <v>1</v>
      </c>
      <c r="I58" s="14">
        <v>0</v>
      </c>
      <c r="J58" s="14" t="s">
        <v>9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 t="s">
        <v>9</v>
      </c>
      <c r="Q58" s="22" t="s">
        <v>9</v>
      </c>
      <c r="R58" s="14">
        <v>1</v>
      </c>
      <c r="S58" s="14">
        <v>0</v>
      </c>
      <c r="T58" s="14">
        <v>0</v>
      </c>
      <c r="U58" s="14">
        <v>0</v>
      </c>
      <c r="V58" s="14">
        <v>1</v>
      </c>
      <c r="W58" s="14">
        <v>2</v>
      </c>
      <c r="X58" s="14" t="s">
        <v>9</v>
      </c>
      <c r="Y58" s="14">
        <v>2</v>
      </c>
      <c r="Z58" s="14">
        <v>0</v>
      </c>
      <c r="AA58" s="14">
        <v>1</v>
      </c>
      <c r="AB58" s="14">
        <v>1</v>
      </c>
      <c r="AC58" s="14">
        <v>0</v>
      </c>
      <c r="AD58" s="14" t="s">
        <v>9</v>
      </c>
      <c r="AE58" s="14" t="s">
        <v>9</v>
      </c>
      <c r="AF58" s="14">
        <v>2</v>
      </c>
      <c r="AG58" s="14">
        <v>0</v>
      </c>
      <c r="AH58" s="28">
        <f t="shared" si="10"/>
        <v>13</v>
      </c>
      <c r="AI58" s="122"/>
    </row>
    <row r="59" spans="1:35" x14ac:dyDescent="0.25">
      <c r="A59" s="90"/>
      <c r="B59" s="127" t="s">
        <v>45</v>
      </c>
      <c r="C59" s="30" t="s">
        <v>46</v>
      </c>
      <c r="D59" s="3">
        <v>2</v>
      </c>
      <c r="E59" s="3">
        <v>11</v>
      </c>
      <c r="F59" s="3">
        <v>1</v>
      </c>
      <c r="G59" s="3">
        <v>2</v>
      </c>
      <c r="H59" s="3">
        <v>6</v>
      </c>
      <c r="I59" s="3">
        <v>5</v>
      </c>
      <c r="J59" s="3" t="s">
        <v>9</v>
      </c>
      <c r="K59" s="3">
        <v>4</v>
      </c>
      <c r="L59" s="3">
        <v>0</v>
      </c>
      <c r="M59" s="3">
        <v>0</v>
      </c>
      <c r="N59" s="3">
        <v>0</v>
      </c>
      <c r="O59" s="3">
        <v>2</v>
      </c>
      <c r="P59" s="3" t="s">
        <v>9</v>
      </c>
      <c r="Q59" s="17" t="s">
        <v>9</v>
      </c>
      <c r="R59" s="3">
        <v>4</v>
      </c>
      <c r="S59" s="3">
        <v>0</v>
      </c>
      <c r="T59" s="3">
        <v>0</v>
      </c>
      <c r="U59" s="3">
        <v>2</v>
      </c>
      <c r="V59" s="3">
        <v>2</v>
      </c>
      <c r="W59" s="3">
        <v>5</v>
      </c>
      <c r="X59" s="3" t="s">
        <v>9</v>
      </c>
      <c r="Y59" s="3">
        <v>2</v>
      </c>
      <c r="Z59" s="3">
        <v>3</v>
      </c>
      <c r="AA59" s="3">
        <v>6</v>
      </c>
      <c r="AB59" s="3">
        <v>3</v>
      </c>
      <c r="AC59" s="3">
        <v>6</v>
      </c>
      <c r="AD59" s="3" t="s">
        <v>9</v>
      </c>
      <c r="AE59" s="3" t="s">
        <v>9</v>
      </c>
      <c r="AF59" s="3">
        <v>6</v>
      </c>
      <c r="AG59" s="3">
        <v>1</v>
      </c>
      <c r="AH59" s="28">
        <f t="shared" si="10"/>
        <v>73</v>
      </c>
      <c r="AI59" s="86"/>
    </row>
    <row r="60" spans="1:35" ht="13.5" thickBot="1" x14ac:dyDescent="0.3">
      <c r="A60" s="91"/>
      <c r="B60" s="128"/>
      <c r="C60" s="31" t="s">
        <v>47</v>
      </c>
      <c r="D60" s="8">
        <v>3</v>
      </c>
      <c r="E60" s="8">
        <v>2</v>
      </c>
      <c r="F60" s="8">
        <v>0</v>
      </c>
      <c r="G60" s="8">
        <v>1</v>
      </c>
      <c r="H60" s="8">
        <v>2</v>
      </c>
      <c r="I60" s="8">
        <v>0</v>
      </c>
      <c r="J60" s="8" t="s">
        <v>9</v>
      </c>
      <c r="K60" s="8">
        <v>3</v>
      </c>
      <c r="L60" s="8">
        <v>0</v>
      </c>
      <c r="M60" s="8">
        <v>0</v>
      </c>
      <c r="N60" s="8">
        <v>1</v>
      </c>
      <c r="O60" s="8">
        <v>0</v>
      </c>
      <c r="P60" s="8" t="s">
        <v>9</v>
      </c>
      <c r="Q60" s="21" t="s">
        <v>9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3">
        <v>0</v>
      </c>
      <c r="X60" s="8" t="s">
        <v>9</v>
      </c>
      <c r="Y60" s="8">
        <v>0</v>
      </c>
      <c r="Z60" s="8">
        <v>0</v>
      </c>
      <c r="AA60" s="8">
        <v>0</v>
      </c>
      <c r="AB60" s="8">
        <v>0</v>
      </c>
      <c r="AC60" s="3">
        <v>0</v>
      </c>
      <c r="AD60" s="8" t="s">
        <v>9</v>
      </c>
      <c r="AE60" s="8" t="s">
        <v>9</v>
      </c>
      <c r="AF60" s="8">
        <v>0</v>
      </c>
      <c r="AG60" s="8">
        <v>0</v>
      </c>
      <c r="AH60" s="26">
        <f t="shared" si="10"/>
        <v>12</v>
      </c>
      <c r="AI60" s="87"/>
    </row>
    <row r="61" spans="1:35" x14ac:dyDescent="0.25">
      <c r="A61" s="106" t="s">
        <v>73</v>
      </c>
      <c r="B61" s="124" t="s">
        <v>18</v>
      </c>
      <c r="C61" s="29" t="s">
        <v>48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 t="s">
        <v>9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20" t="s">
        <v>9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 t="s">
        <v>9</v>
      </c>
      <c r="Y61" s="7">
        <v>1</v>
      </c>
      <c r="Z61" s="7">
        <v>3</v>
      </c>
      <c r="AA61" s="7">
        <v>4</v>
      </c>
      <c r="AB61" s="7">
        <v>4</v>
      </c>
      <c r="AC61" s="7">
        <v>15</v>
      </c>
      <c r="AD61" s="7">
        <v>0</v>
      </c>
      <c r="AE61" s="7" t="s">
        <v>9</v>
      </c>
      <c r="AF61" s="7">
        <v>8</v>
      </c>
      <c r="AG61" s="7">
        <v>6</v>
      </c>
      <c r="AH61" s="27">
        <f t="shared" ref="AH61:AH66" si="11">SUM(D61:AG61)</f>
        <v>42</v>
      </c>
      <c r="AI61" s="85">
        <f t="shared" ref="AI61" si="12">SUM(AH61:AH66)</f>
        <v>110</v>
      </c>
    </row>
    <row r="62" spans="1:35" x14ac:dyDescent="0.25">
      <c r="A62" s="72"/>
      <c r="B62" s="125"/>
      <c r="C62" s="32" t="s">
        <v>50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 t="s">
        <v>9</v>
      </c>
      <c r="K62" s="14">
        <v>0</v>
      </c>
      <c r="L62" s="14">
        <v>0</v>
      </c>
      <c r="M62" s="14">
        <v>0</v>
      </c>
      <c r="N62" s="14">
        <v>1</v>
      </c>
      <c r="O62" s="14">
        <v>1</v>
      </c>
      <c r="P62" s="14">
        <v>0</v>
      </c>
      <c r="Q62" s="22" t="s">
        <v>9</v>
      </c>
      <c r="R62" s="14">
        <v>1</v>
      </c>
      <c r="S62" s="14">
        <v>0</v>
      </c>
      <c r="T62" s="14">
        <v>0</v>
      </c>
      <c r="U62" s="14">
        <v>0</v>
      </c>
      <c r="V62" s="14">
        <v>5</v>
      </c>
      <c r="W62" s="14">
        <v>0</v>
      </c>
      <c r="X62" s="14" t="s">
        <v>9</v>
      </c>
      <c r="Y62" s="14">
        <v>1</v>
      </c>
      <c r="Z62" s="14">
        <v>2</v>
      </c>
      <c r="AA62" s="14">
        <v>0</v>
      </c>
      <c r="AB62" s="14">
        <v>0</v>
      </c>
      <c r="AC62" s="14">
        <v>0</v>
      </c>
      <c r="AD62" s="14">
        <v>0</v>
      </c>
      <c r="AE62" s="14" t="s">
        <v>9</v>
      </c>
      <c r="AF62" s="14">
        <v>0</v>
      </c>
      <c r="AG62" s="14">
        <v>0</v>
      </c>
      <c r="AH62" s="28">
        <f t="shared" si="11"/>
        <v>11</v>
      </c>
      <c r="AI62" s="122"/>
    </row>
    <row r="63" spans="1:35" x14ac:dyDescent="0.25">
      <c r="A63" s="72"/>
      <c r="B63" s="125"/>
      <c r="C63" s="32" t="s">
        <v>49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 t="s">
        <v>9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22" t="s">
        <v>9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 t="s">
        <v>9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 t="s">
        <v>9</v>
      </c>
      <c r="AF63" s="14">
        <v>0</v>
      </c>
      <c r="AG63" s="14">
        <v>0</v>
      </c>
      <c r="AH63" s="28">
        <f t="shared" si="11"/>
        <v>0</v>
      </c>
      <c r="AI63" s="122"/>
    </row>
    <row r="64" spans="1:35" x14ac:dyDescent="0.25">
      <c r="A64" s="72"/>
      <c r="B64" s="126"/>
      <c r="C64" s="32" t="s">
        <v>51</v>
      </c>
      <c r="D64" s="14">
        <v>1</v>
      </c>
      <c r="E64" s="14">
        <v>0</v>
      </c>
      <c r="F64" s="14">
        <v>0</v>
      </c>
      <c r="G64" s="14">
        <v>0</v>
      </c>
      <c r="H64" s="14">
        <v>1</v>
      </c>
      <c r="I64" s="14">
        <v>0</v>
      </c>
      <c r="J64" s="14" t="s">
        <v>9</v>
      </c>
      <c r="K64" s="14">
        <v>0</v>
      </c>
      <c r="L64" s="14">
        <v>1</v>
      </c>
      <c r="M64" s="14">
        <v>0</v>
      </c>
      <c r="N64" s="14">
        <v>0</v>
      </c>
      <c r="O64" s="14">
        <v>0</v>
      </c>
      <c r="P64" s="14">
        <v>0</v>
      </c>
      <c r="Q64" s="22" t="s">
        <v>9</v>
      </c>
      <c r="R64" s="14">
        <v>1</v>
      </c>
      <c r="S64" s="14">
        <v>0</v>
      </c>
      <c r="T64" s="14">
        <v>0</v>
      </c>
      <c r="U64" s="14">
        <v>5</v>
      </c>
      <c r="V64" s="14">
        <v>0</v>
      </c>
      <c r="W64" s="14">
        <v>2</v>
      </c>
      <c r="X64" s="14" t="s">
        <v>9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 t="s">
        <v>9</v>
      </c>
      <c r="AF64" s="14">
        <v>1</v>
      </c>
      <c r="AG64" s="14">
        <v>0</v>
      </c>
      <c r="AH64" s="28">
        <f t="shared" si="11"/>
        <v>12</v>
      </c>
      <c r="AI64" s="122"/>
    </row>
    <row r="65" spans="1:35" x14ac:dyDescent="0.25">
      <c r="A65" s="72"/>
      <c r="B65" s="127" t="s">
        <v>45</v>
      </c>
      <c r="C65" s="30" t="s">
        <v>46</v>
      </c>
      <c r="D65" s="3">
        <v>0</v>
      </c>
      <c r="E65" s="3">
        <v>8</v>
      </c>
      <c r="F65" s="3">
        <v>0</v>
      </c>
      <c r="G65" s="3">
        <v>5</v>
      </c>
      <c r="H65" s="3">
        <v>2</v>
      </c>
      <c r="I65" s="3">
        <v>0</v>
      </c>
      <c r="J65" s="3" t="s">
        <v>9</v>
      </c>
      <c r="K65" s="3">
        <v>3</v>
      </c>
      <c r="L65" s="3">
        <v>3</v>
      </c>
      <c r="M65" s="3">
        <v>1</v>
      </c>
      <c r="N65" s="3">
        <v>0</v>
      </c>
      <c r="O65" s="3">
        <v>2</v>
      </c>
      <c r="P65" s="3">
        <v>2</v>
      </c>
      <c r="Q65" s="17" t="s">
        <v>9</v>
      </c>
      <c r="R65" s="3">
        <v>2</v>
      </c>
      <c r="S65" s="3">
        <v>0</v>
      </c>
      <c r="T65" s="3">
        <v>0</v>
      </c>
      <c r="U65" s="3">
        <v>4</v>
      </c>
      <c r="V65" s="3">
        <v>0</v>
      </c>
      <c r="W65" s="3">
        <v>1</v>
      </c>
      <c r="X65" s="3" t="s">
        <v>9</v>
      </c>
      <c r="Y65" s="3">
        <v>0</v>
      </c>
      <c r="Z65" s="3">
        <v>5</v>
      </c>
      <c r="AA65" s="3">
        <v>1</v>
      </c>
      <c r="AB65" s="3">
        <v>2</v>
      </c>
      <c r="AC65" s="3">
        <v>0</v>
      </c>
      <c r="AD65" s="3">
        <v>0</v>
      </c>
      <c r="AE65" s="3" t="s">
        <v>9</v>
      </c>
      <c r="AF65" s="3">
        <v>1</v>
      </c>
      <c r="AG65" s="3">
        <v>3</v>
      </c>
      <c r="AH65" s="28">
        <f t="shared" si="11"/>
        <v>45</v>
      </c>
      <c r="AI65" s="86"/>
    </row>
    <row r="66" spans="1:35" ht="13.5" thickBot="1" x14ac:dyDescent="0.3">
      <c r="A66" s="107"/>
      <c r="B66" s="128"/>
      <c r="C66" s="31" t="s">
        <v>47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 t="s">
        <v>9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21" t="s">
        <v>9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 t="s">
        <v>9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 t="s">
        <v>9</v>
      </c>
      <c r="AF66" s="8">
        <v>0</v>
      </c>
      <c r="AG66" s="8">
        <v>0</v>
      </c>
      <c r="AH66" s="26">
        <f t="shared" si="11"/>
        <v>0</v>
      </c>
      <c r="AI66" s="87"/>
    </row>
    <row r="67" spans="1:35" x14ac:dyDescent="0.25">
      <c r="A67" s="89" t="s">
        <v>72</v>
      </c>
      <c r="B67" s="124" t="s">
        <v>18</v>
      </c>
      <c r="C67" s="29" t="s">
        <v>48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 t="s">
        <v>9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 t="s">
        <v>9</v>
      </c>
      <c r="Q67" s="7" t="s">
        <v>9</v>
      </c>
      <c r="R67" s="7">
        <v>0</v>
      </c>
      <c r="S67" s="7">
        <v>0</v>
      </c>
      <c r="T67" s="7">
        <v>0</v>
      </c>
      <c r="U67" s="7">
        <v>0</v>
      </c>
      <c r="V67" s="7">
        <v>2</v>
      </c>
      <c r="W67" s="7">
        <v>3</v>
      </c>
      <c r="X67" s="7" t="s">
        <v>9</v>
      </c>
      <c r="Y67" s="7">
        <v>0</v>
      </c>
      <c r="Z67" s="7">
        <v>2</v>
      </c>
      <c r="AA67" s="7">
        <v>7</v>
      </c>
      <c r="AB67" s="7">
        <v>3</v>
      </c>
      <c r="AC67" s="7">
        <v>10</v>
      </c>
      <c r="AD67" s="7">
        <v>0</v>
      </c>
      <c r="AE67" s="7" t="s">
        <v>9</v>
      </c>
      <c r="AF67" s="7">
        <v>9</v>
      </c>
      <c r="AG67" s="7">
        <v>12</v>
      </c>
      <c r="AH67" s="27">
        <f t="shared" ref="AH67:AH72" si="13">SUM(D67:AG67)</f>
        <v>48</v>
      </c>
      <c r="AI67" s="85">
        <f t="shared" ref="AI67" si="14">SUM(AH67:AH72)</f>
        <v>73</v>
      </c>
    </row>
    <row r="68" spans="1:35" x14ac:dyDescent="0.25">
      <c r="A68" s="121"/>
      <c r="B68" s="125"/>
      <c r="C68" s="32" t="s">
        <v>50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 t="s">
        <v>9</v>
      </c>
      <c r="K68" s="14">
        <v>0</v>
      </c>
      <c r="L68" s="14">
        <v>0</v>
      </c>
      <c r="M68" s="14">
        <v>0</v>
      </c>
      <c r="N68" s="14">
        <v>1</v>
      </c>
      <c r="O68" s="14">
        <v>1</v>
      </c>
      <c r="P68" s="14" t="s">
        <v>9</v>
      </c>
      <c r="Q68" s="14" t="s">
        <v>9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 t="s">
        <v>9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 t="s">
        <v>9</v>
      </c>
      <c r="AF68" s="14">
        <v>1</v>
      </c>
      <c r="AG68" s="14">
        <v>0</v>
      </c>
      <c r="AH68" s="28">
        <f t="shared" si="13"/>
        <v>3</v>
      </c>
      <c r="AI68" s="122"/>
    </row>
    <row r="69" spans="1:35" x14ac:dyDescent="0.25">
      <c r="A69" s="121"/>
      <c r="B69" s="125"/>
      <c r="C69" s="32" t="s">
        <v>49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 t="s">
        <v>9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 t="s">
        <v>9</v>
      </c>
      <c r="Q69" s="14" t="s">
        <v>9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 t="s">
        <v>9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 t="s">
        <v>9</v>
      </c>
      <c r="AF69" s="14">
        <v>0</v>
      </c>
      <c r="AG69" s="14">
        <v>0</v>
      </c>
      <c r="AH69" s="28">
        <f t="shared" si="13"/>
        <v>0</v>
      </c>
      <c r="AI69" s="122"/>
    </row>
    <row r="70" spans="1:35" x14ac:dyDescent="0.25">
      <c r="A70" s="121"/>
      <c r="B70" s="126"/>
      <c r="C70" s="32" t="s">
        <v>51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 t="s">
        <v>9</v>
      </c>
      <c r="K70" s="14">
        <v>0</v>
      </c>
      <c r="L70" s="14">
        <v>0</v>
      </c>
      <c r="M70" s="14">
        <v>0</v>
      </c>
      <c r="N70" s="14">
        <v>2</v>
      </c>
      <c r="O70" s="14">
        <v>1</v>
      </c>
      <c r="P70" s="14" t="s">
        <v>9</v>
      </c>
      <c r="Q70" s="14" t="s">
        <v>9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 t="s">
        <v>9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 t="s">
        <v>9</v>
      </c>
      <c r="AF70" s="14">
        <v>0</v>
      </c>
      <c r="AG70" s="14">
        <v>0</v>
      </c>
      <c r="AH70" s="28">
        <f t="shared" si="13"/>
        <v>3</v>
      </c>
      <c r="AI70" s="122"/>
    </row>
    <row r="71" spans="1:35" x14ac:dyDescent="0.25">
      <c r="A71" s="90"/>
      <c r="B71" s="127" t="s">
        <v>45</v>
      </c>
      <c r="C71" s="30" t="s">
        <v>46</v>
      </c>
      <c r="D71" s="3">
        <v>0</v>
      </c>
      <c r="E71" s="3">
        <v>2</v>
      </c>
      <c r="F71" s="3">
        <v>0</v>
      </c>
      <c r="G71" s="3">
        <v>0</v>
      </c>
      <c r="H71" s="3">
        <v>2</v>
      </c>
      <c r="I71" s="3">
        <v>1</v>
      </c>
      <c r="J71" s="3" t="s">
        <v>9</v>
      </c>
      <c r="K71" s="3">
        <v>1</v>
      </c>
      <c r="L71" s="3">
        <v>1</v>
      </c>
      <c r="M71" s="3">
        <v>2</v>
      </c>
      <c r="N71" s="3">
        <v>2</v>
      </c>
      <c r="O71" s="3">
        <v>1</v>
      </c>
      <c r="P71" s="3" t="s">
        <v>9</v>
      </c>
      <c r="Q71" s="3" t="s">
        <v>9</v>
      </c>
      <c r="R71" s="3">
        <v>0</v>
      </c>
      <c r="S71" s="3">
        <v>2</v>
      </c>
      <c r="T71" s="3">
        <v>0</v>
      </c>
      <c r="U71" s="3">
        <v>1</v>
      </c>
      <c r="V71" s="3">
        <v>1</v>
      </c>
      <c r="W71" s="3">
        <v>0</v>
      </c>
      <c r="X71" s="3" t="s">
        <v>9</v>
      </c>
      <c r="Y71" s="3">
        <v>0</v>
      </c>
      <c r="Z71" s="3">
        <v>1</v>
      </c>
      <c r="AA71" s="3">
        <v>0</v>
      </c>
      <c r="AB71" s="3">
        <v>0</v>
      </c>
      <c r="AC71" s="3">
        <v>0</v>
      </c>
      <c r="AD71" s="3">
        <v>0</v>
      </c>
      <c r="AE71" s="3" t="s">
        <v>9</v>
      </c>
      <c r="AF71" s="3">
        <v>1</v>
      </c>
      <c r="AG71" s="3">
        <v>1</v>
      </c>
      <c r="AH71" s="28">
        <f t="shared" si="13"/>
        <v>19</v>
      </c>
      <c r="AI71" s="86"/>
    </row>
    <row r="72" spans="1:35" ht="13.5" thickBot="1" x14ac:dyDescent="0.3">
      <c r="A72" s="91"/>
      <c r="B72" s="128"/>
      <c r="C72" s="31" t="s">
        <v>47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 t="s">
        <v>9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 t="s">
        <v>9</v>
      </c>
      <c r="Q72" s="8" t="s">
        <v>9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 t="s">
        <v>9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 t="s">
        <v>9</v>
      </c>
      <c r="AF72" s="8">
        <v>0</v>
      </c>
      <c r="AG72" s="8">
        <v>0</v>
      </c>
      <c r="AH72" s="26">
        <f t="shared" si="13"/>
        <v>0</v>
      </c>
      <c r="AI72" s="87"/>
    </row>
    <row r="73" spans="1:35" x14ac:dyDescent="0.25">
      <c r="A73" s="121" t="s">
        <v>34</v>
      </c>
      <c r="B73" s="125" t="s">
        <v>18</v>
      </c>
      <c r="C73" s="32" t="s">
        <v>48</v>
      </c>
      <c r="D73" s="14" t="s">
        <v>10</v>
      </c>
      <c r="E73" s="14" t="s">
        <v>10</v>
      </c>
      <c r="F73" s="14" t="s">
        <v>10</v>
      </c>
      <c r="G73" s="14" t="s">
        <v>10</v>
      </c>
      <c r="H73" s="14" t="s">
        <v>10</v>
      </c>
      <c r="I73" s="14" t="s">
        <v>10</v>
      </c>
      <c r="J73" s="14" t="s">
        <v>10</v>
      </c>
      <c r="K73" s="14" t="s">
        <v>10</v>
      </c>
      <c r="L73" s="14" t="s">
        <v>10</v>
      </c>
      <c r="M73" s="14" t="s">
        <v>10</v>
      </c>
      <c r="N73" s="14" t="s">
        <v>10</v>
      </c>
      <c r="O73" s="14" t="s">
        <v>10</v>
      </c>
      <c r="P73" s="14" t="s">
        <v>10</v>
      </c>
      <c r="Q73" s="14" t="s">
        <v>10</v>
      </c>
      <c r="R73" s="14" t="s">
        <v>10</v>
      </c>
      <c r="S73" s="14" t="s">
        <v>10</v>
      </c>
      <c r="T73" s="14" t="s">
        <v>10</v>
      </c>
      <c r="U73" s="14" t="s">
        <v>10</v>
      </c>
      <c r="V73" s="14" t="s">
        <v>10</v>
      </c>
      <c r="W73" s="14" t="s">
        <v>10</v>
      </c>
      <c r="X73" s="14" t="s">
        <v>10</v>
      </c>
      <c r="Y73" s="14" t="s">
        <v>10</v>
      </c>
      <c r="Z73" s="14" t="s">
        <v>10</v>
      </c>
      <c r="AA73" s="14" t="s">
        <v>10</v>
      </c>
      <c r="AB73" s="14" t="s">
        <v>10</v>
      </c>
      <c r="AC73" s="14" t="s">
        <v>10</v>
      </c>
      <c r="AD73" s="14" t="s">
        <v>10</v>
      </c>
      <c r="AE73" s="14" t="s">
        <v>10</v>
      </c>
      <c r="AF73" s="14" t="s">
        <v>10</v>
      </c>
      <c r="AG73" s="14" t="s">
        <v>10</v>
      </c>
      <c r="AH73" s="47">
        <f t="shared" ref="AH73:AH78" si="15">SUM(D73:AG73)</f>
        <v>0</v>
      </c>
      <c r="AI73" s="122">
        <f t="shared" ref="AI73" si="16">SUM(AH73:AH78)</f>
        <v>0</v>
      </c>
    </row>
    <row r="74" spans="1:35" x14ac:dyDescent="0.25">
      <c r="A74" s="121"/>
      <c r="B74" s="125"/>
      <c r="C74" s="32" t="s">
        <v>50</v>
      </c>
      <c r="D74" s="14" t="s">
        <v>10</v>
      </c>
      <c r="E74" s="14" t="s">
        <v>10</v>
      </c>
      <c r="F74" s="14" t="s">
        <v>10</v>
      </c>
      <c r="G74" s="14" t="s">
        <v>10</v>
      </c>
      <c r="H74" s="14" t="s">
        <v>10</v>
      </c>
      <c r="I74" s="14" t="s">
        <v>10</v>
      </c>
      <c r="J74" s="14" t="s">
        <v>10</v>
      </c>
      <c r="K74" s="14" t="s">
        <v>10</v>
      </c>
      <c r="L74" s="14" t="s">
        <v>10</v>
      </c>
      <c r="M74" s="14" t="s">
        <v>10</v>
      </c>
      <c r="N74" s="14" t="s">
        <v>10</v>
      </c>
      <c r="O74" s="14" t="s">
        <v>10</v>
      </c>
      <c r="P74" s="14" t="s">
        <v>10</v>
      </c>
      <c r="Q74" s="14" t="s">
        <v>10</v>
      </c>
      <c r="R74" s="14" t="s">
        <v>10</v>
      </c>
      <c r="S74" s="14" t="s">
        <v>10</v>
      </c>
      <c r="T74" s="14" t="s">
        <v>10</v>
      </c>
      <c r="U74" s="14" t="s">
        <v>10</v>
      </c>
      <c r="V74" s="14" t="s">
        <v>10</v>
      </c>
      <c r="W74" s="14" t="s">
        <v>10</v>
      </c>
      <c r="X74" s="14" t="s">
        <v>10</v>
      </c>
      <c r="Y74" s="14" t="s">
        <v>10</v>
      </c>
      <c r="Z74" s="14" t="s">
        <v>10</v>
      </c>
      <c r="AA74" s="14" t="s">
        <v>10</v>
      </c>
      <c r="AB74" s="14" t="s">
        <v>10</v>
      </c>
      <c r="AC74" s="14" t="s">
        <v>10</v>
      </c>
      <c r="AD74" s="14" t="s">
        <v>10</v>
      </c>
      <c r="AE74" s="14" t="s">
        <v>10</v>
      </c>
      <c r="AF74" s="14" t="s">
        <v>10</v>
      </c>
      <c r="AG74" s="14" t="s">
        <v>10</v>
      </c>
      <c r="AH74" s="44">
        <f t="shared" si="15"/>
        <v>0</v>
      </c>
      <c r="AI74" s="122"/>
    </row>
    <row r="75" spans="1:35" x14ac:dyDescent="0.25">
      <c r="A75" s="121"/>
      <c r="B75" s="125"/>
      <c r="C75" s="32" t="s">
        <v>49</v>
      </c>
      <c r="D75" s="14" t="s">
        <v>10</v>
      </c>
      <c r="E75" s="14" t="s">
        <v>10</v>
      </c>
      <c r="F75" s="14" t="s">
        <v>10</v>
      </c>
      <c r="G75" s="14" t="s">
        <v>10</v>
      </c>
      <c r="H75" s="14" t="s">
        <v>10</v>
      </c>
      <c r="I75" s="14" t="s">
        <v>10</v>
      </c>
      <c r="J75" s="14" t="s">
        <v>10</v>
      </c>
      <c r="K75" s="14" t="s">
        <v>10</v>
      </c>
      <c r="L75" s="14" t="s">
        <v>10</v>
      </c>
      <c r="M75" s="14" t="s">
        <v>10</v>
      </c>
      <c r="N75" s="14" t="s">
        <v>10</v>
      </c>
      <c r="O75" s="14" t="s">
        <v>10</v>
      </c>
      <c r="P75" s="14" t="s">
        <v>10</v>
      </c>
      <c r="Q75" s="14" t="s">
        <v>10</v>
      </c>
      <c r="R75" s="14" t="s">
        <v>10</v>
      </c>
      <c r="S75" s="14" t="s">
        <v>10</v>
      </c>
      <c r="T75" s="14" t="s">
        <v>10</v>
      </c>
      <c r="U75" s="14" t="s">
        <v>10</v>
      </c>
      <c r="V75" s="14" t="s">
        <v>10</v>
      </c>
      <c r="W75" s="14" t="s">
        <v>10</v>
      </c>
      <c r="X75" s="14" t="s">
        <v>10</v>
      </c>
      <c r="Y75" s="14" t="s">
        <v>10</v>
      </c>
      <c r="Z75" s="14" t="s">
        <v>10</v>
      </c>
      <c r="AA75" s="14" t="s">
        <v>10</v>
      </c>
      <c r="AB75" s="14" t="s">
        <v>10</v>
      </c>
      <c r="AC75" s="14" t="s">
        <v>10</v>
      </c>
      <c r="AD75" s="14" t="s">
        <v>10</v>
      </c>
      <c r="AE75" s="14" t="s">
        <v>10</v>
      </c>
      <c r="AF75" s="14" t="s">
        <v>10</v>
      </c>
      <c r="AG75" s="14" t="s">
        <v>10</v>
      </c>
      <c r="AH75" s="44">
        <f t="shared" si="15"/>
        <v>0</v>
      </c>
      <c r="AI75" s="122"/>
    </row>
    <row r="76" spans="1:35" x14ac:dyDescent="0.25">
      <c r="A76" s="121"/>
      <c r="B76" s="126"/>
      <c r="C76" s="32" t="s">
        <v>51</v>
      </c>
      <c r="D76" s="14" t="s">
        <v>10</v>
      </c>
      <c r="E76" s="14" t="s">
        <v>10</v>
      </c>
      <c r="F76" s="14" t="s">
        <v>10</v>
      </c>
      <c r="G76" s="14" t="s">
        <v>10</v>
      </c>
      <c r="H76" s="14" t="s">
        <v>10</v>
      </c>
      <c r="I76" s="14" t="s">
        <v>10</v>
      </c>
      <c r="J76" s="14" t="s">
        <v>10</v>
      </c>
      <c r="K76" s="14" t="s">
        <v>10</v>
      </c>
      <c r="L76" s="14" t="s">
        <v>10</v>
      </c>
      <c r="M76" s="14" t="s">
        <v>10</v>
      </c>
      <c r="N76" s="14" t="s">
        <v>10</v>
      </c>
      <c r="O76" s="14" t="s">
        <v>10</v>
      </c>
      <c r="P76" s="14" t="s">
        <v>10</v>
      </c>
      <c r="Q76" s="14" t="s">
        <v>10</v>
      </c>
      <c r="R76" s="14" t="s">
        <v>10</v>
      </c>
      <c r="S76" s="14" t="s">
        <v>10</v>
      </c>
      <c r="T76" s="14" t="s">
        <v>10</v>
      </c>
      <c r="U76" s="14" t="s">
        <v>10</v>
      </c>
      <c r="V76" s="14" t="s">
        <v>10</v>
      </c>
      <c r="W76" s="14" t="s">
        <v>10</v>
      </c>
      <c r="X76" s="14" t="s">
        <v>10</v>
      </c>
      <c r="Y76" s="14" t="s">
        <v>10</v>
      </c>
      <c r="Z76" s="14" t="s">
        <v>10</v>
      </c>
      <c r="AA76" s="14" t="s">
        <v>10</v>
      </c>
      <c r="AB76" s="14" t="s">
        <v>10</v>
      </c>
      <c r="AC76" s="14" t="s">
        <v>10</v>
      </c>
      <c r="AD76" s="14" t="s">
        <v>10</v>
      </c>
      <c r="AE76" s="14" t="s">
        <v>10</v>
      </c>
      <c r="AF76" s="14" t="s">
        <v>10</v>
      </c>
      <c r="AG76" s="14" t="s">
        <v>10</v>
      </c>
      <c r="AH76" s="44">
        <f t="shared" si="15"/>
        <v>0</v>
      </c>
      <c r="AI76" s="122"/>
    </row>
    <row r="77" spans="1:35" x14ac:dyDescent="0.25">
      <c r="A77" s="90"/>
      <c r="B77" s="127" t="s">
        <v>45</v>
      </c>
      <c r="C77" s="30" t="s">
        <v>46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10</v>
      </c>
      <c r="I77" s="3" t="s">
        <v>10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 t="s">
        <v>10</v>
      </c>
      <c r="AF77" s="3" t="s">
        <v>10</v>
      </c>
      <c r="AG77" s="3" t="s">
        <v>10</v>
      </c>
      <c r="AH77" s="44">
        <f t="shared" si="15"/>
        <v>0</v>
      </c>
      <c r="AI77" s="86"/>
    </row>
    <row r="78" spans="1:35" ht="13.5" thickBot="1" x14ac:dyDescent="0.3">
      <c r="A78" s="91"/>
      <c r="B78" s="128"/>
      <c r="C78" s="31" t="s">
        <v>47</v>
      </c>
      <c r="D78" s="8" t="s">
        <v>10</v>
      </c>
      <c r="E78" s="8" t="s">
        <v>10</v>
      </c>
      <c r="F78" s="8" t="s">
        <v>10</v>
      </c>
      <c r="G78" s="8" t="s">
        <v>10</v>
      </c>
      <c r="H78" s="8" t="s">
        <v>10</v>
      </c>
      <c r="I78" s="8" t="s">
        <v>10</v>
      </c>
      <c r="J78" s="8" t="s">
        <v>10</v>
      </c>
      <c r="K78" s="8" t="s">
        <v>10</v>
      </c>
      <c r="L78" s="8" t="s">
        <v>10</v>
      </c>
      <c r="M78" s="8" t="s">
        <v>10</v>
      </c>
      <c r="N78" s="8" t="s">
        <v>10</v>
      </c>
      <c r="O78" s="8" t="s">
        <v>10</v>
      </c>
      <c r="P78" s="8" t="s">
        <v>10</v>
      </c>
      <c r="Q78" s="8" t="s">
        <v>10</v>
      </c>
      <c r="R78" s="8" t="s">
        <v>10</v>
      </c>
      <c r="S78" s="8" t="s">
        <v>10</v>
      </c>
      <c r="T78" s="8" t="s">
        <v>10</v>
      </c>
      <c r="U78" s="8" t="s">
        <v>10</v>
      </c>
      <c r="V78" s="8" t="s">
        <v>10</v>
      </c>
      <c r="W78" s="8" t="s">
        <v>10</v>
      </c>
      <c r="X78" s="8" t="s">
        <v>10</v>
      </c>
      <c r="Y78" s="8" t="s">
        <v>10</v>
      </c>
      <c r="Z78" s="8" t="s">
        <v>10</v>
      </c>
      <c r="AA78" s="8" t="s">
        <v>10</v>
      </c>
      <c r="AB78" s="8" t="s">
        <v>10</v>
      </c>
      <c r="AC78" s="8" t="s">
        <v>10</v>
      </c>
      <c r="AD78" s="8" t="s">
        <v>10</v>
      </c>
      <c r="AE78" s="8" t="s">
        <v>10</v>
      </c>
      <c r="AF78" s="8" t="s">
        <v>10</v>
      </c>
      <c r="AG78" s="8" t="s">
        <v>10</v>
      </c>
      <c r="AH78" s="46">
        <f t="shared" si="15"/>
        <v>0</v>
      </c>
      <c r="AI78" s="87"/>
    </row>
    <row r="79" spans="1:35" ht="13.5" thickBot="1" x14ac:dyDescent="0.3">
      <c r="A79" s="110" t="s">
        <v>1</v>
      </c>
      <c r="B79" s="141"/>
      <c r="C79" s="111"/>
      <c r="D79" s="9">
        <f t="shared" ref="D79:AI79" si="17">SUM(D19:D78)</f>
        <v>179</v>
      </c>
      <c r="E79" s="9">
        <f t="shared" si="17"/>
        <v>364</v>
      </c>
      <c r="F79" s="9">
        <f t="shared" si="17"/>
        <v>117</v>
      </c>
      <c r="G79" s="9">
        <f t="shared" si="17"/>
        <v>217</v>
      </c>
      <c r="H79" s="9">
        <f t="shared" si="17"/>
        <v>195</v>
      </c>
      <c r="I79" s="9">
        <f t="shared" si="17"/>
        <v>74</v>
      </c>
      <c r="J79" s="9">
        <f t="shared" si="17"/>
        <v>44</v>
      </c>
      <c r="K79" s="9">
        <f t="shared" si="17"/>
        <v>131</v>
      </c>
      <c r="L79" s="9">
        <f t="shared" si="17"/>
        <v>149</v>
      </c>
      <c r="M79" s="9">
        <f t="shared" si="17"/>
        <v>126</v>
      </c>
      <c r="N79" s="9">
        <f t="shared" si="17"/>
        <v>134</v>
      </c>
      <c r="O79" s="9">
        <f t="shared" si="17"/>
        <v>178</v>
      </c>
      <c r="P79" s="9">
        <f t="shared" si="17"/>
        <v>30</v>
      </c>
      <c r="Q79" s="9">
        <f t="shared" si="17"/>
        <v>0</v>
      </c>
      <c r="R79" s="9">
        <f t="shared" si="17"/>
        <v>158</v>
      </c>
      <c r="S79" s="9">
        <f t="shared" si="17"/>
        <v>110</v>
      </c>
      <c r="T79" s="9">
        <f t="shared" si="17"/>
        <v>149</v>
      </c>
      <c r="U79" s="9">
        <f t="shared" si="17"/>
        <v>128</v>
      </c>
      <c r="V79" s="9">
        <f t="shared" si="17"/>
        <v>149</v>
      </c>
      <c r="W79" s="9">
        <f t="shared" si="17"/>
        <v>111</v>
      </c>
      <c r="X79" s="9">
        <f t="shared" si="17"/>
        <v>35</v>
      </c>
      <c r="Y79" s="9">
        <f t="shared" si="17"/>
        <v>274</v>
      </c>
      <c r="Z79" s="9">
        <f t="shared" si="17"/>
        <v>268</v>
      </c>
      <c r="AA79" s="9">
        <f t="shared" si="17"/>
        <v>169</v>
      </c>
      <c r="AB79" s="9">
        <f t="shared" si="17"/>
        <v>235</v>
      </c>
      <c r="AC79" s="9">
        <f t="shared" si="17"/>
        <v>233</v>
      </c>
      <c r="AD79" s="9">
        <f t="shared" si="17"/>
        <v>34</v>
      </c>
      <c r="AE79" s="9">
        <f t="shared" si="17"/>
        <v>47</v>
      </c>
      <c r="AF79" s="9">
        <f t="shared" si="17"/>
        <v>223</v>
      </c>
      <c r="AG79" s="9">
        <f t="shared" si="17"/>
        <v>300</v>
      </c>
      <c r="AH79" s="9">
        <f t="shared" si="17"/>
        <v>4561</v>
      </c>
      <c r="AI79" s="33">
        <f t="shared" si="17"/>
        <v>4561</v>
      </c>
    </row>
    <row r="81" spans="4:35" s="5" customFormat="1" ht="12" x14ac:dyDescent="0.25">
      <c r="D81" s="1" t="s">
        <v>10</v>
      </c>
      <c r="E81" s="109" t="s">
        <v>11</v>
      </c>
      <c r="F81" s="109"/>
      <c r="G81" s="6"/>
      <c r="H81" s="1" t="s">
        <v>9</v>
      </c>
      <c r="I81" s="109" t="s">
        <v>12</v>
      </c>
      <c r="J81" s="109"/>
      <c r="K81" s="6"/>
      <c r="L81" s="1" t="s">
        <v>13</v>
      </c>
      <c r="M81" s="109" t="s">
        <v>14</v>
      </c>
      <c r="N81" s="109"/>
      <c r="O81" s="109"/>
      <c r="P81" s="109"/>
      <c r="Q81" s="109"/>
      <c r="R81" s="6"/>
      <c r="S81" s="1" t="s">
        <v>15</v>
      </c>
      <c r="T81" s="109" t="s">
        <v>16</v>
      </c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</row>
    <row r="82" spans="4:35" x14ac:dyDescent="0.25">
      <c r="H82" s="1" t="s">
        <v>55</v>
      </c>
      <c r="I82" s="109" t="s">
        <v>56</v>
      </c>
      <c r="J82" s="109"/>
    </row>
    <row r="84" spans="4:35" x14ac:dyDescent="0.25">
      <c r="O84" s="2"/>
    </row>
    <row r="85" spans="4:35" x14ac:dyDescent="0.25">
      <c r="O85" s="2"/>
    </row>
    <row r="86" spans="4:35" x14ac:dyDescent="0.25">
      <c r="O86" s="2"/>
    </row>
    <row r="87" spans="4:35" x14ac:dyDescent="0.25">
      <c r="O87" s="2"/>
    </row>
    <row r="88" spans="4:35" x14ac:dyDescent="0.25">
      <c r="O88" s="2"/>
    </row>
    <row r="89" spans="4:35" x14ac:dyDescent="0.25">
      <c r="O89" s="2"/>
    </row>
  </sheetData>
  <mergeCells count="76">
    <mergeCell ref="A1:AI1"/>
    <mergeCell ref="A2:C3"/>
    <mergeCell ref="AH2:AI3"/>
    <mergeCell ref="A8:C8"/>
    <mergeCell ref="AH8:AI8"/>
    <mergeCell ref="A4:C4"/>
    <mergeCell ref="AH4:AI4"/>
    <mergeCell ref="A13:C13"/>
    <mergeCell ref="AH13:AI13"/>
    <mergeCell ref="A5:C5"/>
    <mergeCell ref="AH5:AI5"/>
    <mergeCell ref="A7:C7"/>
    <mergeCell ref="AH7:AI7"/>
    <mergeCell ref="A10:C10"/>
    <mergeCell ref="AH10:AI10"/>
    <mergeCell ref="A9:C9"/>
    <mergeCell ref="AH9:AI9"/>
    <mergeCell ref="A6:C6"/>
    <mergeCell ref="AH6:AI6"/>
    <mergeCell ref="A11:C11"/>
    <mergeCell ref="A12:C12"/>
    <mergeCell ref="AH11:AI11"/>
    <mergeCell ref="AH12:AI12"/>
    <mergeCell ref="A14:C14"/>
    <mergeCell ref="AH14:AI14"/>
    <mergeCell ref="A16:AI16"/>
    <mergeCell ref="A17:A18"/>
    <mergeCell ref="B17:C18"/>
    <mergeCell ref="AH17:AH18"/>
    <mergeCell ref="AI17:AI18"/>
    <mergeCell ref="A19:A24"/>
    <mergeCell ref="B19:B22"/>
    <mergeCell ref="AI19:AI24"/>
    <mergeCell ref="B23:B24"/>
    <mergeCell ref="A73:A78"/>
    <mergeCell ref="B73:B76"/>
    <mergeCell ref="AI73:AI78"/>
    <mergeCell ref="B77:B78"/>
    <mergeCell ref="A37:A42"/>
    <mergeCell ref="B37:B40"/>
    <mergeCell ref="AI37:AI42"/>
    <mergeCell ref="B41:B42"/>
    <mergeCell ref="A43:A48"/>
    <mergeCell ref="B43:B46"/>
    <mergeCell ref="AI43:AI48"/>
    <mergeCell ref="B47:B48"/>
    <mergeCell ref="I82:J82"/>
    <mergeCell ref="A31:A36"/>
    <mergeCell ref="B31:B34"/>
    <mergeCell ref="AI31:AI36"/>
    <mergeCell ref="B35:B36"/>
    <mergeCell ref="E81:F81"/>
    <mergeCell ref="I81:J81"/>
    <mergeCell ref="M81:Q81"/>
    <mergeCell ref="T81:AI81"/>
    <mergeCell ref="A61:A66"/>
    <mergeCell ref="B61:B64"/>
    <mergeCell ref="AI61:AI66"/>
    <mergeCell ref="B65:B66"/>
    <mergeCell ref="A67:A72"/>
    <mergeCell ref="B67:B70"/>
    <mergeCell ref="A25:A30"/>
    <mergeCell ref="B25:B28"/>
    <mergeCell ref="AI25:AI30"/>
    <mergeCell ref="B29:B30"/>
    <mergeCell ref="A79:C79"/>
    <mergeCell ref="AI67:AI72"/>
    <mergeCell ref="B71:B72"/>
    <mergeCell ref="A55:A60"/>
    <mergeCell ref="B55:B58"/>
    <mergeCell ref="AI55:AI60"/>
    <mergeCell ref="B59:B60"/>
    <mergeCell ref="A49:A54"/>
    <mergeCell ref="B49:B52"/>
    <mergeCell ref="AI49:AI54"/>
    <mergeCell ref="B53:B5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0850-1467-455D-A672-4843AE5562D1}">
  <dimension ref="A1:AP89"/>
  <sheetViews>
    <sheetView topLeftCell="C1" zoomScale="120" zoomScaleNormal="120" workbookViewId="0">
      <selection activeCell="P11" sqref="P11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85546875" style="2" customWidth="1"/>
    <col min="5" max="5" width="4" style="2" bestFit="1" customWidth="1"/>
    <col min="6" max="6" width="5" style="2" bestFit="1" customWidth="1"/>
    <col min="7" max="7" width="4" style="2" bestFit="1" customWidth="1"/>
    <col min="8" max="8" width="4.140625" style="2" customWidth="1"/>
    <col min="9" max="9" width="4.7109375" style="2" customWidth="1"/>
    <col min="10" max="10" width="4" style="2" customWidth="1"/>
    <col min="11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5.140625" style="2" customWidth="1"/>
    <col min="22" max="22" width="5.42578125" style="2" customWidth="1"/>
    <col min="23" max="23" width="4.42578125" style="2" bestFit="1" customWidth="1"/>
    <col min="24" max="25" width="4.140625" style="2" bestFit="1" customWidth="1"/>
    <col min="26" max="27" width="5" style="2" bestFit="1" customWidth="1"/>
    <col min="28" max="29" width="4" style="2" bestFit="1" customWidth="1"/>
    <col min="30" max="30" width="3.7109375" style="2" customWidth="1"/>
    <col min="31" max="31" width="5" style="2" customWidth="1"/>
    <col min="32" max="32" width="5" style="2" bestFit="1" customWidth="1"/>
    <col min="33" max="33" width="5" style="2" customWidth="1"/>
    <col min="34" max="34" width="5.140625" style="2" customWidth="1"/>
    <col min="35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42" ht="22.5" customHeight="1" thickBot="1" x14ac:dyDescent="0.3">
      <c r="A1" s="76" t="s">
        <v>75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42" ht="59.25" customHeight="1" x14ac:dyDescent="0.25">
      <c r="A2" s="77" t="s">
        <v>0</v>
      </c>
      <c r="B2" s="112"/>
      <c r="C2" s="78"/>
      <c r="D2" s="11">
        <v>45931</v>
      </c>
      <c r="E2" s="11">
        <v>45932</v>
      </c>
      <c r="F2" s="11">
        <v>45933</v>
      </c>
      <c r="G2" s="11">
        <v>45934</v>
      </c>
      <c r="H2" s="11">
        <v>45935</v>
      </c>
      <c r="I2" s="11">
        <v>45936</v>
      </c>
      <c r="J2" s="11">
        <v>45937</v>
      </c>
      <c r="K2" s="11">
        <v>45938</v>
      </c>
      <c r="L2" s="11">
        <v>45939</v>
      </c>
      <c r="M2" s="11">
        <v>45940</v>
      </c>
      <c r="N2" s="11">
        <v>45941</v>
      </c>
      <c r="O2" s="11">
        <v>45942</v>
      </c>
      <c r="P2" s="11">
        <v>45943</v>
      </c>
      <c r="Q2" s="11">
        <v>45944</v>
      </c>
      <c r="R2" s="11">
        <v>45945</v>
      </c>
      <c r="S2" s="11">
        <v>45946</v>
      </c>
      <c r="T2" s="11">
        <v>45947</v>
      </c>
      <c r="U2" s="11">
        <v>45948</v>
      </c>
      <c r="V2" s="11">
        <v>45949</v>
      </c>
      <c r="W2" s="11">
        <v>45950</v>
      </c>
      <c r="X2" s="11">
        <v>45951</v>
      </c>
      <c r="Y2" s="11">
        <v>45952</v>
      </c>
      <c r="Z2" s="11">
        <v>45953</v>
      </c>
      <c r="AA2" s="11">
        <v>45954</v>
      </c>
      <c r="AB2" s="11">
        <v>45955</v>
      </c>
      <c r="AC2" s="11">
        <v>45956</v>
      </c>
      <c r="AD2" s="11">
        <v>45957</v>
      </c>
      <c r="AE2" s="11">
        <v>45958</v>
      </c>
      <c r="AF2" s="11">
        <v>45959</v>
      </c>
      <c r="AG2" s="11">
        <v>45960</v>
      </c>
      <c r="AH2" s="11">
        <v>45961</v>
      </c>
      <c r="AI2" s="81" t="s">
        <v>1</v>
      </c>
      <c r="AJ2" s="82"/>
    </row>
    <row r="3" spans="1:42" ht="71.25" customHeight="1" x14ac:dyDescent="0.25">
      <c r="A3" s="79"/>
      <c r="B3" s="113"/>
      <c r="C3" s="80"/>
      <c r="D3" s="12" t="s">
        <v>5</v>
      </c>
      <c r="E3" s="12" t="s">
        <v>6</v>
      </c>
      <c r="F3" s="12" t="s">
        <v>7</v>
      </c>
      <c r="G3" s="12" t="s">
        <v>8</v>
      </c>
      <c r="H3" s="12" t="s">
        <v>2</v>
      </c>
      <c r="I3" s="12" t="s">
        <v>3</v>
      </c>
      <c r="J3" s="12" t="s">
        <v>4</v>
      </c>
      <c r="K3" s="12" t="s">
        <v>5</v>
      </c>
      <c r="L3" s="12" t="s">
        <v>6</v>
      </c>
      <c r="M3" s="12" t="s">
        <v>7</v>
      </c>
      <c r="N3" s="12" t="s">
        <v>8</v>
      </c>
      <c r="O3" s="12" t="s">
        <v>2</v>
      </c>
      <c r="P3" s="12" t="s">
        <v>3</v>
      </c>
      <c r="Q3" s="12" t="s">
        <v>4</v>
      </c>
      <c r="R3" s="12" t="s">
        <v>5</v>
      </c>
      <c r="S3" s="12" t="s">
        <v>6</v>
      </c>
      <c r="T3" s="12" t="s">
        <v>7</v>
      </c>
      <c r="U3" s="12" t="s">
        <v>8</v>
      </c>
      <c r="V3" s="12" t="s">
        <v>2</v>
      </c>
      <c r="W3" s="12" t="s">
        <v>3</v>
      </c>
      <c r="X3" s="12" t="s">
        <v>4</v>
      </c>
      <c r="Y3" s="12" t="s">
        <v>5</v>
      </c>
      <c r="Z3" s="12" t="s">
        <v>6</v>
      </c>
      <c r="AA3" s="12" t="s">
        <v>7</v>
      </c>
      <c r="AB3" s="12" t="s">
        <v>8</v>
      </c>
      <c r="AC3" s="12" t="s">
        <v>2</v>
      </c>
      <c r="AD3" s="12" t="s">
        <v>3</v>
      </c>
      <c r="AE3" s="12" t="s">
        <v>4</v>
      </c>
      <c r="AF3" s="12" t="s">
        <v>5</v>
      </c>
      <c r="AG3" s="12" t="s">
        <v>6</v>
      </c>
      <c r="AH3" s="12" t="s">
        <v>7</v>
      </c>
      <c r="AI3" s="83"/>
      <c r="AJ3" s="84"/>
      <c r="AP3" s="2" t="s">
        <v>62</v>
      </c>
    </row>
    <row r="4" spans="1:42" ht="15" customHeight="1" x14ac:dyDescent="0.25">
      <c r="A4" s="72" t="s">
        <v>39</v>
      </c>
      <c r="B4" s="114"/>
      <c r="C4" s="73"/>
      <c r="D4" s="3">
        <v>177</v>
      </c>
      <c r="E4" s="3">
        <v>80</v>
      </c>
      <c r="F4" s="3">
        <v>35</v>
      </c>
      <c r="G4" s="3" t="s">
        <v>9</v>
      </c>
      <c r="H4" s="3">
        <v>78</v>
      </c>
      <c r="I4" s="3">
        <v>172</v>
      </c>
      <c r="J4" s="3">
        <v>164</v>
      </c>
      <c r="K4" s="3">
        <v>191</v>
      </c>
      <c r="L4" s="3">
        <v>140</v>
      </c>
      <c r="M4" s="3" t="s">
        <v>9</v>
      </c>
      <c r="N4" s="3" t="s">
        <v>9</v>
      </c>
      <c r="O4" s="17" t="s">
        <v>9</v>
      </c>
      <c r="P4" s="17">
        <v>52</v>
      </c>
      <c r="Q4" s="13">
        <v>46</v>
      </c>
      <c r="R4" s="3">
        <v>51</v>
      </c>
      <c r="S4" s="3">
        <v>41</v>
      </c>
      <c r="T4" s="3">
        <v>30</v>
      </c>
      <c r="U4" s="13" t="s">
        <v>9</v>
      </c>
      <c r="V4" s="13" t="s">
        <v>9</v>
      </c>
      <c r="W4" s="3">
        <v>209</v>
      </c>
      <c r="X4" s="3">
        <v>151</v>
      </c>
      <c r="Y4" s="3">
        <v>57</v>
      </c>
      <c r="Z4" s="3">
        <v>319</v>
      </c>
      <c r="AA4" s="3">
        <v>230</v>
      </c>
      <c r="AB4" s="3" t="s">
        <v>9</v>
      </c>
      <c r="AC4" s="3" t="s">
        <v>9</v>
      </c>
      <c r="AD4" s="3">
        <v>265</v>
      </c>
      <c r="AE4" s="3">
        <v>437</v>
      </c>
      <c r="AF4" s="3">
        <v>425</v>
      </c>
      <c r="AG4" s="3">
        <v>329</v>
      </c>
      <c r="AH4" s="3">
        <v>124</v>
      </c>
      <c r="AI4" s="74">
        <f>SUM(D4:AH4)</f>
        <v>3803</v>
      </c>
      <c r="AJ4" s="75"/>
    </row>
    <row r="5" spans="1:42" x14ac:dyDescent="0.25">
      <c r="A5" s="72" t="s">
        <v>32</v>
      </c>
      <c r="B5" s="114"/>
      <c r="C5" s="73"/>
      <c r="D5" s="3">
        <v>192</v>
      </c>
      <c r="E5" s="3">
        <v>122</v>
      </c>
      <c r="F5" s="3">
        <v>91</v>
      </c>
      <c r="G5" s="3">
        <v>61</v>
      </c>
      <c r="H5" s="3" t="s">
        <v>9</v>
      </c>
      <c r="I5" s="3">
        <v>241</v>
      </c>
      <c r="J5" s="3">
        <v>172</v>
      </c>
      <c r="K5" s="3">
        <v>140</v>
      </c>
      <c r="L5" s="3">
        <v>179</v>
      </c>
      <c r="M5" s="3">
        <v>67</v>
      </c>
      <c r="N5" s="3" t="s">
        <v>9</v>
      </c>
      <c r="O5" s="3" t="s">
        <v>9</v>
      </c>
      <c r="P5" s="3">
        <v>23</v>
      </c>
      <c r="Q5" s="3">
        <v>15</v>
      </c>
      <c r="R5" s="3">
        <v>73</v>
      </c>
      <c r="S5" s="3">
        <v>148</v>
      </c>
      <c r="T5" s="3">
        <v>109</v>
      </c>
      <c r="U5" s="13">
        <v>153</v>
      </c>
      <c r="V5" s="13" t="s">
        <v>9</v>
      </c>
      <c r="W5" s="3">
        <v>118</v>
      </c>
      <c r="X5" s="3">
        <v>157</v>
      </c>
      <c r="Y5" s="3">
        <v>152</v>
      </c>
      <c r="Z5" s="3">
        <v>164</v>
      </c>
      <c r="AA5" s="3">
        <v>266</v>
      </c>
      <c r="AB5" s="3" t="s">
        <v>9</v>
      </c>
      <c r="AC5" s="3" t="s">
        <v>9</v>
      </c>
      <c r="AD5" s="3">
        <v>216</v>
      </c>
      <c r="AE5" s="3">
        <v>185</v>
      </c>
      <c r="AF5" s="3">
        <v>276</v>
      </c>
      <c r="AG5" s="3">
        <v>187</v>
      </c>
      <c r="AH5" s="3">
        <v>144</v>
      </c>
      <c r="AI5" s="74">
        <f t="shared" ref="AI5:AI13" si="0">SUM(D5:AH5)</f>
        <v>3651</v>
      </c>
      <c r="AJ5" s="75"/>
    </row>
    <row r="6" spans="1:42" x14ac:dyDescent="0.25">
      <c r="A6" s="72" t="s">
        <v>38</v>
      </c>
      <c r="B6" s="114"/>
      <c r="C6" s="73"/>
      <c r="D6" s="3">
        <v>206</v>
      </c>
      <c r="E6" s="3">
        <v>90</v>
      </c>
      <c r="F6" s="3">
        <v>16</v>
      </c>
      <c r="G6" s="3" t="s">
        <v>9</v>
      </c>
      <c r="H6" s="3" t="s">
        <v>9</v>
      </c>
      <c r="I6" s="3">
        <v>83</v>
      </c>
      <c r="J6" s="3">
        <v>76</v>
      </c>
      <c r="K6" s="3">
        <v>83</v>
      </c>
      <c r="L6" s="3">
        <v>56</v>
      </c>
      <c r="M6" s="3">
        <v>26</v>
      </c>
      <c r="N6" s="3">
        <v>30</v>
      </c>
      <c r="O6" s="17" t="s">
        <v>9</v>
      </c>
      <c r="P6" s="17">
        <v>9</v>
      </c>
      <c r="Q6" s="18">
        <v>13</v>
      </c>
      <c r="R6" s="3">
        <v>6</v>
      </c>
      <c r="S6" s="3">
        <v>3</v>
      </c>
      <c r="T6" s="3">
        <v>15</v>
      </c>
      <c r="U6" s="13" t="s">
        <v>9</v>
      </c>
      <c r="V6" s="13" t="s">
        <v>9</v>
      </c>
      <c r="W6" s="3">
        <v>65</v>
      </c>
      <c r="X6" s="3">
        <v>116</v>
      </c>
      <c r="Y6" s="3">
        <v>43</v>
      </c>
      <c r="Z6" s="3">
        <v>116</v>
      </c>
      <c r="AA6" s="3">
        <v>205</v>
      </c>
      <c r="AB6" s="3">
        <v>154</v>
      </c>
      <c r="AC6" s="3" t="s">
        <v>9</v>
      </c>
      <c r="AD6" s="3">
        <v>29</v>
      </c>
      <c r="AE6" s="3">
        <v>70</v>
      </c>
      <c r="AF6" s="3">
        <v>330</v>
      </c>
      <c r="AG6" s="3">
        <v>243</v>
      </c>
      <c r="AH6" s="3">
        <v>58</v>
      </c>
      <c r="AI6" s="74">
        <f>SUM(D6:AH6)</f>
        <v>2141</v>
      </c>
      <c r="AJ6" s="75"/>
    </row>
    <row r="7" spans="1:42" x14ac:dyDescent="0.25">
      <c r="A7" s="72" t="s">
        <v>34</v>
      </c>
      <c r="B7" s="114"/>
      <c r="C7" s="73"/>
      <c r="D7" s="3">
        <v>190</v>
      </c>
      <c r="E7" s="13">
        <v>148</v>
      </c>
      <c r="F7" s="13">
        <v>12</v>
      </c>
      <c r="G7" s="13" t="s">
        <v>9</v>
      </c>
      <c r="H7" s="13" t="s">
        <v>9</v>
      </c>
      <c r="I7" s="13">
        <v>92</v>
      </c>
      <c r="J7" s="13">
        <v>81</v>
      </c>
      <c r="K7" s="13">
        <v>114</v>
      </c>
      <c r="L7" s="13">
        <v>87</v>
      </c>
      <c r="M7" s="13">
        <v>133</v>
      </c>
      <c r="N7" s="13">
        <v>97</v>
      </c>
      <c r="O7" s="13" t="s">
        <v>9</v>
      </c>
      <c r="P7" s="13">
        <v>12</v>
      </c>
      <c r="Q7" s="13">
        <v>10</v>
      </c>
      <c r="R7" s="13">
        <v>15</v>
      </c>
      <c r="S7" s="13">
        <v>7</v>
      </c>
      <c r="T7" s="13">
        <v>14</v>
      </c>
      <c r="U7" s="13" t="s">
        <v>9</v>
      </c>
      <c r="V7" s="13">
        <v>26</v>
      </c>
      <c r="W7" s="13">
        <v>88</v>
      </c>
      <c r="X7" s="13" t="s">
        <v>30</v>
      </c>
      <c r="Y7" s="13" t="s">
        <v>30</v>
      </c>
      <c r="Z7" s="13" t="s">
        <v>30</v>
      </c>
      <c r="AA7" s="13" t="s">
        <v>9</v>
      </c>
      <c r="AB7" s="13">
        <v>93</v>
      </c>
      <c r="AC7" s="13" t="s">
        <v>9</v>
      </c>
      <c r="AD7" s="13">
        <v>165</v>
      </c>
      <c r="AE7" s="13">
        <v>179</v>
      </c>
      <c r="AF7" s="13">
        <v>207</v>
      </c>
      <c r="AG7" s="13">
        <v>133</v>
      </c>
      <c r="AH7" s="13">
        <v>105</v>
      </c>
      <c r="AI7" s="74">
        <f>SUM(D7:AH7)</f>
        <v>2008</v>
      </c>
      <c r="AJ7" s="75"/>
    </row>
    <row r="8" spans="1:42" x14ac:dyDescent="0.25">
      <c r="A8" s="72" t="s">
        <v>33</v>
      </c>
      <c r="B8" s="114"/>
      <c r="C8" s="73"/>
      <c r="D8" s="3">
        <v>111</v>
      </c>
      <c r="E8" s="3">
        <v>46</v>
      </c>
      <c r="F8" s="3">
        <v>3</v>
      </c>
      <c r="G8" s="3" t="s">
        <v>9</v>
      </c>
      <c r="H8" s="3" t="s">
        <v>9</v>
      </c>
      <c r="I8" s="3">
        <v>105</v>
      </c>
      <c r="J8" s="3">
        <v>64</v>
      </c>
      <c r="K8" s="3">
        <v>62</v>
      </c>
      <c r="L8" s="3">
        <v>40</v>
      </c>
      <c r="M8" s="3">
        <v>54</v>
      </c>
      <c r="N8" s="3" t="s">
        <v>9</v>
      </c>
      <c r="O8" s="3" t="s">
        <v>9</v>
      </c>
      <c r="P8" s="3">
        <v>13</v>
      </c>
      <c r="Q8" s="3">
        <v>10</v>
      </c>
      <c r="R8" s="3">
        <v>44</v>
      </c>
      <c r="S8" s="3">
        <v>28</v>
      </c>
      <c r="T8" s="3">
        <v>38</v>
      </c>
      <c r="U8" s="13">
        <v>86</v>
      </c>
      <c r="V8" s="13" t="s">
        <v>9</v>
      </c>
      <c r="W8" s="3">
        <v>121</v>
      </c>
      <c r="X8" s="3">
        <v>84</v>
      </c>
      <c r="Y8" s="3">
        <v>57</v>
      </c>
      <c r="Z8" s="3">
        <v>138</v>
      </c>
      <c r="AA8" s="3">
        <v>96</v>
      </c>
      <c r="AB8" s="3">
        <v>75</v>
      </c>
      <c r="AC8" s="3" t="s">
        <v>9</v>
      </c>
      <c r="AD8" s="3" t="s">
        <v>9</v>
      </c>
      <c r="AE8" s="3">
        <v>78</v>
      </c>
      <c r="AF8" s="3">
        <v>138</v>
      </c>
      <c r="AG8" s="3">
        <v>111</v>
      </c>
      <c r="AH8" s="3">
        <v>74</v>
      </c>
      <c r="AI8" s="74">
        <f>SUM(D8:AH8)</f>
        <v>1676</v>
      </c>
      <c r="AJ8" s="75"/>
    </row>
    <row r="9" spans="1:42" x14ac:dyDescent="0.25">
      <c r="A9" s="72" t="s">
        <v>72</v>
      </c>
      <c r="B9" s="114"/>
      <c r="C9" s="73"/>
      <c r="D9" s="3">
        <v>70</v>
      </c>
      <c r="E9" s="3">
        <v>32</v>
      </c>
      <c r="F9" s="13">
        <v>43</v>
      </c>
      <c r="G9" s="3">
        <v>56</v>
      </c>
      <c r="H9" s="3" t="s">
        <v>9</v>
      </c>
      <c r="I9" s="13">
        <v>137</v>
      </c>
      <c r="J9" s="3">
        <v>101</v>
      </c>
      <c r="K9" s="3">
        <v>40</v>
      </c>
      <c r="L9" s="3">
        <v>3</v>
      </c>
      <c r="M9" s="3">
        <v>42</v>
      </c>
      <c r="N9" s="3">
        <v>20</v>
      </c>
      <c r="O9" s="17" t="s">
        <v>9</v>
      </c>
      <c r="P9" s="17">
        <v>16</v>
      </c>
      <c r="Q9" s="3">
        <v>0</v>
      </c>
      <c r="R9" s="3">
        <v>0</v>
      </c>
      <c r="S9" s="3">
        <v>0</v>
      </c>
      <c r="T9" s="13">
        <v>0</v>
      </c>
      <c r="U9" s="13" t="s">
        <v>9</v>
      </c>
      <c r="V9" s="13" t="s">
        <v>9</v>
      </c>
      <c r="W9" s="17">
        <v>88</v>
      </c>
      <c r="X9" s="3">
        <v>84</v>
      </c>
      <c r="Y9" s="3">
        <v>46</v>
      </c>
      <c r="Z9" s="3">
        <v>106</v>
      </c>
      <c r="AA9" s="3">
        <v>134</v>
      </c>
      <c r="AB9" s="3">
        <v>105</v>
      </c>
      <c r="AC9" s="13" t="s">
        <v>9</v>
      </c>
      <c r="AD9" s="13">
        <v>64</v>
      </c>
      <c r="AE9" s="13">
        <v>216</v>
      </c>
      <c r="AF9" s="13">
        <v>118</v>
      </c>
      <c r="AG9" s="13">
        <v>112</v>
      </c>
      <c r="AH9" s="3" t="s">
        <v>37</v>
      </c>
      <c r="AI9" s="74">
        <f>SUM(D9:AH9)</f>
        <v>1633</v>
      </c>
      <c r="AJ9" s="75"/>
    </row>
    <row r="10" spans="1:42" x14ac:dyDescent="0.25">
      <c r="A10" s="72" t="s">
        <v>73</v>
      </c>
      <c r="B10" s="114"/>
      <c r="C10" s="73"/>
      <c r="D10" s="3">
        <v>46</v>
      </c>
      <c r="E10" s="3">
        <v>39</v>
      </c>
      <c r="F10" s="13">
        <v>79</v>
      </c>
      <c r="G10" s="3">
        <v>47</v>
      </c>
      <c r="H10" s="3" t="s">
        <v>9</v>
      </c>
      <c r="I10" s="13">
        <v>110</v>
      </c>
      <c r="J10" s="3">
        <v>88</v>
      </c>
      <c r="K10" s="3">
        <v>43</v>
      </c>
      <c r="L10" s="3">
        <v>0</v>
      </c>
      <c r="M10" s="3">
        <v>30</v>
      </c>
      <c r="N10" s="3">
        <v>16</v>
      </c>
      <c r="O10" s="17" t="s">
        <v>9</v>
      </c>
      <c r="P10" s="17">
        <v>5</v>
      </c>
      <c r="Q10" s="3">
        <v>1</v>
      </c>
      <c r="R10" s="3">
        <v>0</v>
      </c>
      <c r="S10" s="3">
        <v>0</v>
      </c>
      <c r="T10" s="13">
        <v>2</v>
      </c>
      <c r="U10" s="13" t="s">
        <v>9</v>
      </c>
      <c r="V10" s="13" t="s">
        <v>9</v>
      </c>
      <c r="W10" s="17">
        <v>86</v>
      </c>
      <c r="X10" s="3">
        <v>55</v>
      </c>
      <c r="Y10" s="3">
        <v>23</v>
      </c>
      <c r="Z10" s="3">
        <v>85</v>
      </c>
      <c r="AA10" s="3">
        <v>95</v>
      </c>
      <c r="AB10" s="3">
        <v>86</v>
      </c>
      <c r="AC10" s="13" t="s">
        <v>9</v>
      </c>
      <c r="AD10" s="13">
        <v>56</v>
      </c>
      <c r="AE10" s="13">
        <v>159</v>
      </c>
      <c r="AF10" s="13">
        <v>94</v>
      </c>
      <c r="AG10" s="13">
        <v>145</v>
      </c>
      <c r="AH10" s="3">
        <v>59</v>
      </c>
      <c r="AI10" s="74">
        <f t="shared" ref="AI10" si="1">SUM(D10:AH10)</f>
        <v>1449</v>
      </c>
      <c r="AJ10" s="75"/>
    </row>
    <row r="11" spans="1:42" x14ac:dyDescent="0.25">
      <c r="A11" s="72" t="s">
        <v>35</v>
      </c>
      <c r="B11" s="114"/>
      <c r="C11" s="73"/>
      <c r="D11" s="3">
        <v>61</v>
      </c>
      <c r="E11" s="3">
        <v>24</v>
      </c>
      <c r="F11" s="3">
        <v>7</v>
      </c>
      <c r="G11" s="3" t="s">
        <v>9</v>
      </c>
      <c r="H11" s="3" t="s">
        <v>9</v>
      </c>
      <c r="I11" s="3" t="s">
        <v>9</v>
      </c>
      <c r="J11" s="3">
        <v>58</v>
      </c>
      <c r="K11" s="3">
        <v>56</v>
      </c>
      <c r="L11" s="3">
        <v>37</v>
      </c>
      <c r="M11" s="3">
        <v>30</v>
      </c>
      <c r="N11" s="3" t="s">
        <v>9</v>
      </c>
      <c r="O11" s="17" t="s">
        <v>9</v>
      </c>
      <c r="P11" s="17">
        <v>14</v>
      </c>
      <c r="Q11" s="3">
        <v>19</v>
      </c>
      <c r="R11" s="3">
        <v>25</v>
      </c>
      <c r="S11" s="3">
        <v>7</v>
      </c>
      <c r="T11" s="3">
        <v>15</v>
      </c>
      <c r="U11" s="13" t="s">
        <v>9</v>
      </c>
      <c r="V11" s="13" t="s">
        <v>9</v>
      </c>
      <c r="W11" s="3">
        <v>59</v>
      </c>
      <c r="X11" s="3">
        <v>66</v>
      </c>
      <c r="Y11" s="3">
        <v>45</v>
      </c>
      <c r="Z11" s="3">
        <v>141</v>
      </c>
      <c r="AA11" s="3">
        <v>58</v>
      </c>
      <c r="AB11" s="3" t="s">
        <v>9</v>
      </c>
      <c r="AC11" s="3" t="s">
        <v>9</v>
      </c>
      <c r="AD11" s="3">
        <v>67</v>
      </c>
      <c r="AE11" s="3">
        <v>204</v>
      </c>
      <c r="AF11" s="3">
        <v>116</v>
      </c>
      <c r="AG11" s="3">
        <v>103</v>
      </c>
      <c r="AH11" s="3">
        <v>50</v>
      </c>
      <c r="AI11" s="74">
        <f t="shared" ref="AI11" si="2">SUM(D11:AH11)</f>
        <v>1262</v>
      </c>
      <c r="AJ11" s="75"/>
    </row>
    <row r="12" spans="1:42" x14ac:dyDescent="0.25">
      <c r="A12" s="72" t="s">
        <v>76</v>
      </c>
      <c r="B12" s="114"/>
      <c r="C12" s="73"/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>
        <v>0</v>
      </c>
      <c r="J12" s="13">
        <v>45</v>
      </c>
      <c r="K12" s="13">
        <v>64</v>
      </c>
      <c r="L12" s="13">
        <v>39</v>
      </c>
      <c r="M12" s="13">
        <v>45</v>
      </c>
      <c r="N12" s="13" t="s">
        <v>9</v>
      </c>
      <c r="O12" s="18" t="s">
        <v>9</v>
      </c>
      <c r="P12" s="18">
        <v>118</v>
      </c>
      <c r="Q12" s="13">
        <v>95</v>
      </c>
      <c r="R12" s="13">
        <v>83</v>
      </c>
      <c r="S12" s="13">
        <v>83</v>
      </c>
      <c r="T12" s="13">
        <v>57</v>
      </c>
      <c r="U12" s="13">
        <v>94</v>
      </c>
      <c r="V12" s="13" t="s">
        <v>9</v>
      </c>
      <c r="W12" s="13">
        <v>89</v>
      </c>
      <c r="X12" s="13">
        <v>55</v>
      </c>
      <c r="Y12" s="13">
        <v>47</v>
      </c>
      <c r="Z12" s="13">
        <v>51</v>
      </c>
      <c r="AA12" s="13">
        <v>42</v>
      </c>
      <c r="AB12" s="13" t="s">
        <v>9</v>
      </c>
      <c r="AC12" s="13" t="s">
        <v>9</v>
      </c>
      <c r="AD12" s="13">
        <v>0</v>
      </c>
      <c r="AE12" s="13" t="s">
        <v>30</v>
      </c>
      <c r="AF12" s="13" t="s">
        <v>30</v>
      </c>
      <c r="AG12" s="13">
        <v>59</v>
      </c>
      <c r="AH12" s="13">
        <v>41</v>
      </c>
      <c r="AI12" s="74">
        <f t="shared" ref="AI12" si="3">SUM(D12:AH12)</f>
        <v>1107</v>
      </c>
      <c r="AJ12" s="75"/>
    </row>
    <row r="13" spans="1:42" x14ac:dyDescent="0.25">
      <c r="A13" s="72" t="s">
        <v>36</v>
      </c>
      <c r="B13" s="114"/>
      <c r="C13" s="73"/>
      <c r="D13" s="3">
        <v>85</v>
      </c>
      <c r="E13" s="3">
        <v>130</v>
      </c>
      <c r="F13" s="13">
        <v>109</v>
      </c>
      <c r="G13" s="3">
        <v>69</v>
      </c>
      <c r="H13" s="3" t="s">
        <v>9</v>
      </c>
      <c r="I13" s="3">
        <v>49</v>
      </c>
      <c r="J13" s="3">
        <v>11</v>
      </c>
      <c r="K13" s="3">
        <v>48</v>
      </c>
      <c r="L13" s="3">
        <v>41</v>
      </c>
      <c r="M13" s="3">
        <v>37</v>
      </c>
      <c r="N13" s="3">
        <v>22</v>
      </c>
      <c r="O13" s="17" t="s">
        <v>9</v>
      </c>
      <c r="P13" s="17" t="s">
        <v>10</v>
      </c>
      <c r="Q13" s="3" t="s">
        <v>10</v>
      </c>
      <c r="R13" s="3" t="s">
        <v>10</v>
      </c>
      <c r="S13" s="3" t="s">
        <v>10</v>
      </c>
      <c r="T13" s="13" t="s">
        <v>10</v>
      </c>
      <c r="U13" s="13">
        <v>9</v>
      </c>
      <c r="V13" s="13" t="s">
        <v>9</v>
      </c>
      <c r="W13" s="17">
        <v>34</v>
      </c>
      <c r="X13" s="3">
        <v>37</v>
      </c>
      <c r="Y13" s="3">
        <v>63</v>
      </c>
      <c r="Z13" s="3">
        <v>17</v>
      </c>
      <c r="AA13" s="3">
        <v>36</v>
      </c>
      <c r="AB13" s="3">
        <v>12</v>
      </c>
      <c r="AC13" s="13" t="s">
        <v>9</v>
      </c>
      <c r="AD13" s="13">
        <v>56</v>
      </c>
      <c r="AE13" s="13">
        <v>27</v>
      </c>
      <c r="AF13" s="13">
        <v>30</v>
      </c>
      <c r="AG13" s="13">
        <v>34</v>
      </c>
      <c r="AH13" s="3">
        <v>71</v>
      </c>
      <c r="AI13" s="74">
        <f t="shared" si="0"/>
        <v>1027</v>
      </c>
      <c r="AJ13" s="75"/>
    </row>
    <row r="14" spans="1:42" ht="13.5" thickBot="1" x14ac:dyDescent="0.3">
      <c r="A14" s="92" t="s">
        <v>1</v>
      </c>
      <c r="B14" s="115"/>
      <c r="C14" s="93"/>
      <c r="D14" s="10">
        <f t="shared" ref="D14:AH14" si="4">SUM(D4:D13)</f>
        <v>1138</v>
      </c>
      <c r="E14" s="10">
        <f t="shared" si="4"/>
        <v>711</v>
      </c>
      <c r="F14" s="10">
        <f t="shared" si="4"/>
        <v>395</v>
      </c>
      <c r="G14" s="10">
        <f t="shared" si="4"/>
        <v>233</v>
      </c>
      <c r="H14" s="10">
        <f t="shared" si="4"/>
        <v>78</v>
      </c>
      <c r="I14" s="10">
        <f t="shared" si="4"/>
        <v>989</v>
      </c>
      <c r="J14" s="10">
        <f t="shared" si="4"/>
        <v>860</v>
      </c>
      <c r="K14" s="10">
        <f t="shared" si="4"/>
        <v>841</v>
      </c>
      <c r="L14" s="10">
        <f t="shared" si="4"/>
        <v>622</v>
      </c>
      <c r="M14" s="10">
        <f t="shared" si="4"/>
        <v>464</v>
      </c>
      <c r="N14" s="10">
        <f t="shared" si="4"/>
        <v>185</v>
      </c>
      <c r="O14" s="10">
        <f t="shared" si="4"/>
        <v>0</v>
      </c>
      <c r="P14" s="10">
        <f t="shared" si="4"/>
        <v>262</v>
      </c>
      <c r="Q14" s="10">
        <f t="shared" si="4"/>
        <v>209</v>
      </c>
      <c r="R14" s="10">
        <f t="shared" si="4"/>
        <v>297</v>
      </c>
      <c r="S14" s="10">
        <f t="shared" si="4"/>
        <v>317</v>
      </c>
      <c r="T14" s="10">
        <f t="shared" si="4"/>
        <v>280</v>
      </c>
      <c r="U14" s="10">
        <f t="shared" si="4"/>
        <v>342</v>
      </c>
      <c r="V14" s="10">
        <f t="shared" si="4"/>
        <v>26</v>
      </c>
      <c r="W14" s="10">
        <f t="shared" si="4"/>
        <v>957</v>
      </c>
      <c r="X14" s="10">
        <f t="shared" si="4"/>
        <v>805</v>
      </c>
      <c r="Y14" s="10">
        <f t="shared" si="4"/>
        <v>533</v>
      </c>
      <c r="Z14" s="10">
        <f t="shared" si="4"/>
        <v>1137</v>
      </c>
      <c r="AA14" s="10">
        <f t="shared" si="4"/>
        <v>1162</v>
      </c>
      <c r="AB14" s="10">
        <f t="shared" si="4"/>
        <v>525</v>
      </c>
      <c r="AC14" s="10">
        <f t="shared" si="4"/>
        <v>0</v>
      </c>
      <c r="AD14" s="10">
        <f t="shared" si="4"/>
        <v>918</v>
      </c>
      <c r="AE14" s="10">
        <f t="shared" si="4"/>
        <v>1555</v>
      </c>
      <c r="AF14" s="10">
        <f t="shared" si="4"/>
        <v>1734</v>
      </c>
      <c r="AG14" s="10">
        <f t="shared" si="4"/>
        <v>1456</v>
      </c>
      <c r="AH14" s="10">
        <f t="shared" si="4"/>
        <v>726</v>
      </c>
      <c r="AI14" s="116">
        <f>SUM(D14:AH14)</f>
        <v>19757</v>
      </c>
      <c r="AJ14" s="117"/>
      <c r="AK14" s="4"/>
    </row>
    <row r="15" spans="1:42" ht="13.5" thickBot="1" x14ac:dyDescent="0.3"/>
    <row r="16" spans="1:42" ht="22.5" customHeight="1" thickBot="1" x14ac:dyDescent="0.3">
      <c r="A16" s="96" t="s">
        <v>77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</row>
    <row r="17" spans="1:36" ht="57" customHeight="1" thickBot="1" x14ac:dyDescent="0.3">
      <c r="A17" s="97" t="s">
        <v>0</v>
      </c>
      <c r="B17" s="132" t="s">
        <v>17</v>
      </c>
      <c r="C17" s="133"/>
      <c r="D17" s="11">
        <v>45931</v>
      </c>
      <c r="E17" s="11">
        <v>45932</v>
      </c>
      <c r="F17" s="11">
        <v>45933</v>
      </c>
      <c r="G17" s="11">
        <v>45934</v>
      </c>
      <c r="H17" s="11">
        <v>45935</v>
      </c>
      <c r="I17" s="11">
        <v>45936</v>
      </c>
      <c r="J17" s="11">
        <v>45937</v>
      </c>
      <c r="K17" s="11">
        <v>45938</v>
      </c>
      <c r="L17" s="11">
        <v>45939</v>
      </c>
      <c r="M17" s="11">
        <v>45940</v>
      </c>
      <c r="N17" s="11">
        <v>45941</v>
      </c>
      <c r="O17" s="11">
        <v>45942</v>
      </c>
      <c r="P17" s="11">
        <v>45943</v>
      </c>
      <c r="Q17" s="11">
        <v>45944</v>
      </c>
      <c r="R17" s="11">
        <v>45945</v>
      </c>
      <c r="S17" s="11">
        <v>45946</v>
      </c>
      <c r="T17" s="11">
        <v>45947</v>
      </c>
      <c r="U17" s="11">
        <v>45948</v>
      </c>
      <c r="V17" s="11">
        <v>45949</v>
      </c>
      <c r="W17" s="11">
        <v>45950</v>
      </c>
      <c r="X17" s="11">
        <v>45951</v>
      </c>
      <c r="Y17" s="11">
        <v>45952</v>
      </c>
      <c r="Z17" s="11">
        <v>45953</v>
      </c>
      <c r="AA17" s="11">
        <v>45954</v>
      </c>
      <c r="AB17" s="11">
        <v>45955</v>
      </c>
      <c r="AC17" s="11">
        <v>45956</v>
      </c>
      <c r="AD17" s="11">
        <v>45957</v>
      </c>
      <c r="AE17" s="11">
        <v>45958</v>
      </c>
      <c r="AF17" s="11">
        <v>45959</v>
      </c>
      <c r="AG17" s="11">
        <v>45960</v>
      </c>
      <c r="AH17" s="11">
        <v>45961</v>
      </c>
      <c r="AI17" s="101" t="s">
        <v>28</v>
      </c>
      <c r="AJ17" s="103" t="s">
        <v>27</v>
      </c>
    </row>
    <row r="18" spans="1:36" ht="63.75" thickBot="1" x14ac:dyDescent="0.3">
      <c r="A18" s="98"/>
      <c r="B18" s="146"/>
      <c r="C18" s="147"/>
      <c r="D18" s="12" t="s">
        <v>5</v>
      </c>
      <c r="E18" s="12" t="s">
        <v>6</v>
      </c>
      <c r="F18" s="12" t="s">
        <v>7</v>
      </c>
      <c r="G18" s="12" t="s">
        <v>8</v>
      </c>
      <c r="H18" s="12" t="s">
        <v>2</v>
      </c>
      <c r="I18" s="12" t="s">
        <v>3</v>
      </c>
      <c r="J18" s="12" t="s">
        <v>4</v>
      </c>
      <c r="K18" s="12" t="s">
        <v>5</v>
      </c>
      <c r="L18" s="12" t="s">
        <v>6</v>
      </c>
      <c r="M18" s="12" t="s">
        <v>7</v>
      </c>
      <c r="N18" s="12" t="s">
        <v>8</v>
      </c>
      <c r="O18" s="12" t="s">
        <v>2</v>
      </c>
      <c r="P18" s="12" t="s">
        <v>3</v>
      </c>
      <c r="Q18" s="12" t="s">
        <v>4</v>
      </c>
      <c r="R18" s="12" t="s">
        <v>5</v>
      </c>
      <c r="S18" s="12" t="s">
        <v>6</v>
      </c>
      <c r="T18" s="12" t="s">
        <v>7</v>
      </c>
      <c r="U18" s="12" t="s">
        <v>8</v>
      </c>
      <c r="V18" s="12" t="s">
        <v>2</v>
      </c>
      <c r="W18" s="12" t="s">
        <v>3</v>
      </c>
      <c r="X18" s="12" t="s">
        <v>4</v>
      </c>
      <c r="Y18" s="12" t="s">
        <v>5</v>
      </c>
      <c r="Z18" s="12" t="s">
        <v>6</v>
      </c>
      <c r="AA18" s="12" t="s">
        <v>7</v>
      </c>
      <c r="AB18" s="12" t="s">
        <v>8</v>
      </c>
      <c r="AC18" s="12" t="s">
        <v>2</v>
      </c>
      <c r="AD18" s="12" t="s">
        <v>3</v>
      </c>
      <c r="AE18" s="12" t="s">
        <v>4</v>
      </c>
      <c r="AF18" s="12" t="s">
        <v>5</v>
      </c>
      <c r="AG18" s="12" t="s">
        <v>6</v>
      </c>
      <c r="AH18" s="12" t="s">
        <v>7</v>
      </c>
      <c r="AI18" s="102"/>
      <c r="AJ18" s="104"/>
    </row>
    <row r="19" spans="1:36" x14ac:dyDescent="0.25">
      <c r="A19" s="106" t="s">
        <v>39</v>
      </c>
      <c r="B19" s="124" t="s">
        <v>18</v>
      </c>
      <c r="C19" s="49" t="s">
        <v>48</v>
      </c>
      <c r="D19" s="27">
        <v>38</v>
      </c>
      <c r="E19" s="7">
        <v>12</v>
      </c>
      <c r="F19" s="7">
        <v>1</v>
      </c>
      <c r="G19" s="7" t="s">
        <v>9</v>
      </c>
      <c r="H19" s="7">
        <v>11</v>
      </c>
      <c r="I19" s="7">
        <v>12</v>
      </c>
      <c r="J19" s="7">
        <v>15</v>
      </c>
      <c r="K19" s="7">
        <v>10</v>
      </c>
      <c r="L19" s="7">
        <v>5</v>
      </c>
      <c r="M19" s="7" t="s">
        <v>9</v>
      </c>
      <c r="N19" s="7" t="s">
        <v>9</v>
      </c>
      <c r="O19" s="7" t="s">
        <v>9</v>
      </c>
      <c r="P19" s="7">
        <v>1</v>
      </c>
      <c r="Q19" s="20">
        <v>0</v>
      </c>
      <c r="R19" s="7">
        <v>0</v>
      </c>
      <c r="S19" s="7">
        <v>0</v>
      </c>
      <c r="T19" s="7">
        <v>0</v>
      </c>
      <c r="U19" s="7" t="s">
        <v>9</v>
      </c>
      <c r="V19" s="7" t="s">
        <v>9</v>
      </c>
      <c r="W19" s="7">
        <v>8</v>
      </c>
      <c r="X19" s="7">
        <v>27</v>
      </c>
      <c r="Y19" s="7">
        <v>6</v>
      </c>
      <c r="Z19" s="7">
        <v>32</v>
      </c>
      <c r="AA19" s="7">
        <v>10</v>
      </c>
      <c r="AB19" s="7" t="s">
        <v>9</v>
      </c>
      <c r="AC19" s="7" t="s">
        <v>9</v>
      </c>
      <c r="AD19" s="7">
        <v>9</v>
      </c>
      <c r="AE19" s="7">
        <v>73</v>
      </c>
      <c r="AF19" s="7">
        <v>11</v>
      </c>
      <c r="AG19" s="7">
        <v>47</v>
      </c>
      <c r="AH19" s="7">
        <v>21</v>
      </c>
      <c r="AI19" s="54">
        <f t="shared" ref="AI19:AI24" si="5">SUM(D19:AH19)</f>
        <v>349</v>
      </c>
      <c r="AJ19" s="154">
        <f t="shared" ref="AJ19" si="6">SUM(AI19:AI24)</f>
        <v>1155</v>
      </c>
    </row>
    <row r="20" spans="1:36" x14ac:dyDescent="0.25">
      <c r="A20" s="72"/>
      <c r="B20" s="125"/>
      <c r="C20" s="50" t="s">
        <v>50</v>
      </c>
      <c r="D20" s="38">
        <v>21</v>
      </c>
      <c r="E20" s="14">
        <v>10</v>
      </c>
      <c r="F20" s="14">
        <v>16</v>
      </c>
      <c r="G20" s="14" t="s">
        <v>9</v>
      </c>
      <c r="H20" s="14">
        <v>10</v>
      </c>
      <c r="I20" s="14">
        <v>23</v>
      </c>
      <c r="J20" s="14">
        <v>19</v>
      </c>
      <c r="K20" s="14">
        <v>19</v>
      </c>
      <c r="L20" s="14">
        <v>11</v>
      </c>
      <c r="M20" s="14" t="s">
        <v>9</v>
      </c>
      <c r="N20" s="14" t="s">
        <v>9</v>
      </c>
      <c r="O20" s="14" t="s">
        <v>9</v>
      </c>
      <c r="P20" s="14">
        <v>18</v>
      </c>
      <c r="Q20" s="22">
        <v>24</v>
      </c>
      <c r="R20" s="14">
        <v>24</v>
      </c>
      <c r="S20" s="14">
        <v>35</v>
      </c>
      <c r="T20" s="14">
        <v>10</v>
      </c>
      <c r="U20" s="14" t="s">
        <v>9</v>
      </c>
      <c r="V20" s="14" t="s">
        <v>9</v>
      </c>
      <c r="W20" s="14">
        <v>26</v>
      </c>
      <c r="X20" s="14">
        <v>18</v>
      </c>
      <c r="Y20" s="14">
        <v>25</v>
      </c>
      <c r="Z20" s="14">
        <v>18</v>
      </c>
      <c r="AA20" s="14">
        <v>17</v>
      </c>
      <c r="AB20" s="14" t="s">
        <v>9</v>
      </c>
      <c r="AC20" s="14" t="s">
        <v>9</v>
      </c>
      <c r="AD20" s="14">
        <v>14</v>
      </c>
      <c r="AE20" s="14">
        <v>6</v>
      </c>
      <c r="AF20" s="14">
        <v>14</v>
      </c>
      <c r="AG20" s="14">
        <v>16</v>
      </c>
      <c r="AH20" s="14">
        <v>8</v>
      </c>
      <c r="AI20" s="55">
        <f t="shared" si="5"/>
        <v>402</v>
      </c>
      <c r="AJ20" s="151"/>
    </row>
    <row r="21" spans="1:36" x14ac:dyDescent="0.25">
      <c r="A21" s="72"/>
      <c r="B21" s="125"/>
      <c r="C21" s="50" t="s">
        <v>49</v>
      </c>
      <c r="D21" s="38">
        <v>0</v>
      </c>
      <c r="E21" s="14">
        <v>0</v>
      </c>
      <c r="F21" s="14">
        <v>0</v>
      </c>
      <c r="G21" s="14" t="s">
        <v>9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 t="s">
        <v>9</v>
      </c>
      <c r="N21" s="14" t="s">
        <v>9</v>
      </c>
      <c r="O21" s="14" t="s">
        <v>9</v>
      </c>
      <c r="P21" s="14">
        <v>0</v>
      </c>
      <c r="Q21" s="22">
        <v>0</v>
      </c>
      <c r="R21" s="14">
        <v>0</v>
      </c>
      <c r="S21" s="14">
        <v>0</v>
      </c>
      <c r="T21" s="14">
        <v>0</v>
      </c>
      <c r="U21" s="14" t="s">
        <v>9</v>
      </c>
      <c r="V21" s="14" t="s">
        <v>9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 t="s">
        <v>9</v>
      </c>
      <c r="AC21" s="14" t="s">
        <v>9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55">
        <f t="shared" si="5"/>
        <v>0</v>
      </c>
      <c r="AJ21" s="151"/>
    </row>
    <row r="22" spans="1:36" x14ac:dyDescent="0.25">
      <c r="A22" s="72"/>
      <c r="B22" s="126"/>
      <c r="C22" s="50" t="s">
        <v>51</v>
      </c>
      <c r="D22" s="38">
        <v>5</v>
      </c>
      <c r="E22" s="14">
        <v>2</v>
      </c>
      <c r="F22" s="14">
        <v>0</v>
      </c>
      <c r="G22" s="14" t="s">
        <v>9</v>
      </c>
      <c r="H22" s="14">
        <v>0</v>
      </c>
      <c r="I22" s="14">
        <v>2</v>
      </c>
      <c r="J22" s="14">
        <v>3</v>
      </c>
      <c r="K22" s="14">
        <v>2</v>
      </c>
      <c r="L22" s="14">
        <v>2</v>
      </c>
      <c r="M22" s="14" t="s">
        <v>9</v>
      </c>
      <c r="N22" s="14" t="s">
        <v>9</v>
      </c>
      <c r="O22" s="14" t="s">
        <v>9</v>
      </c>
      <c r="P22" s="14">
        <v>1</v>
      </c>
      <c r="Q22" s="22">
        <v>0</v>
      </c>
      <c r="R22" s="14">
        <v>4</v>
      </c>
      <c r="S22" s="14">
        <v>0</v>
      </c>
      <c r="T22" s="14">
        <v>4</v>
      </c>
      <c r="U22" s="14" t="s">
        <v>9</v>
      </c>
      <c r="V22" s="14" t="s">
        <v>9</v>
      </c>
      <c r="W22" s="14">
        <v>1</v>
      </c>
      <c r="X22" s="14">
        <v>2</v>
      </c>
      <c r="Y22" s="14">
        <v>4</v>
      </c>
      <c r="Z22" s="14">
        <v>4</v>
      </c>
      <c r="AA22" s="14">
        <v>0</v>
      </c>
      <c r="AB22" s="14" t="s">
        <v>9</v>
      </c>
      <c r="AC22" s="14" t="s">
        <v>9</v>
      </c>
      <c r="AD22" s="14">
        <v>7</v>
      </c>
      <c r="AE22" s="14">
        <v>0</v>
      </c>
      <c r="AF22" s="14">
        <v>2</v>
      </c>
      <c r="AG22" s="14">
        <v>3</v>
      </c>
      <c r="AH22" s="14">
        <v>2</v>
      </c>
      <c r="AI22" s="55">
        <f t="shared" si="5"/>
        <v>50</v>
      </c>
      <c r="AJ22" s="151"/>
    </row>
    <row r="23" spans="1:36" x14ac:dyDescent="0.25">
      <c r="A23" s="72"/>
      <c r="B23" s="127" t="s">
        <v>45</v>
      </c>
      <c r="C23" s="51" t="s">
        <v>46</v>
      </c>
      <c r="D23" s="28">
        <v>55</v>
      </c>
      <c r="E23" s="3">
        <v>6</v>
      </c>
      <c r="F23" s="3">
        <v>3</v>
      </c>
      <c r="G23" s="3" t="s">
        <v>9</v>
      </c>
      <c r="H23" s="3">
        <v>6</v>
      </c>
      <c r="I23" s="3">
        <v>12</v>
      </c>
      <c r="J23" s="3">
        <v>39</v>
      </c>
      <c r="K23" s="3">
        <v>5</v>
      </c>
      <c r="L23" s="3">
        <v>5</v>
      </c>
      <c r="M23" s="3" t="s">
        <v>9</v>
      </c>
      <c r="N23" s="3" t="s">
        <v>9</v>
      </c>
      <c r="O23" s="3" t="s">
        <v>9</v>
      </c>
      <c r="P23" s="3">
        <v>3</v>
      </c>
      <c r="Q23" s="17">
        <v>4</v>
      </c>
      <c r="R23" s="3">
        <v>6</v>
      </c>
      <c r="S23" s="3">
        <v>0</v>
      </c>
      <c r="T23" s="3">
        <v>7</v>
      </c>
      <c r="U23" s="3" t="s">
        <v>9</v>
      </c>
      <c r="V23" s="3" t="s">
        <v>9</v>
      </c>
      <c r="W23" s="3">
        <v>5</v>
      </c>
      <c r="X23" s="3">
        <v>33</v>
      </c>
      <c r="Y23" s="3">
        <v>6</v>
      </c>
      <c r="Z23" s="3">
        <v>11</v>
      </c>
      <c r="AA23" s="3">
        <v>1</v>
      </c>
      <c r="AB23" s="3" t="s">
        <v>9</v>
      </c>
      <c r="AC23" s="3" t="s">
        <v>9</v>
      </c>
      <c r="AD23" s="3">
        <v>17</v>
      </c>
      <c r="AE23" s="3">
        <v>47</v>
      </c>
      <c r="AF23" s="3">
        <v>4</v>
      </c>
      <c r="AG23" s="3">
        <v>66</v>
      </c>
      <c r="AH23" s="3">
        <v>8</v>
      </c>
      <c r="AI23" s="55">
        <f t="shared" si="5"/>
        <v>349</v>
      </c>
      <c r="AJ23" s="152"/>
    </row>
    <row r="24" spans="1:36" ht="15" customHeight="1" thickBot="1" x14ac:dyDescent="0.3">
      <c r="A24" s="107"/>
      <c r="B24" s="128"/>
      <c r="C24" s="52" t="s">
        <v>47</v>
      </c>
      <c r="D24" s="26">
        <v>0</v>
      </c>
      <c r="E24" s="8">
        <v>0</v>
      </c>
      <c r="F24" s="8">
        <v>0</v>
      </c>
      <c r="G24" s="8" t="s">
        <v>9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 t="s">
        <v>9</v>
      </c>
      <c r="N24" s="8" t="s">
        <v>9</v>
      </c>
      <c r="O24" s="8" t="s">
        <v>9</v>
      </c>
      <c r="P24" s="8">
        <v>1</v>
      </c>
      <c r="Q24" s="21">
        <v>0</v>
      </c>
      <c r="R24" s="8">
        <v>2</v>
      </c>
      <c r="S24" s="8">
        <v>0</v>
      </c>
      <c r="T24" s="8">
        <v>0</v>
      </c>
      <c r="U24" s="8" t="s">
        <v>9</v>
      </c>
      <c r="V24" s="8" t="s">
        <v>9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 t="s">
        <v>9</v>
      </c>
      <c r="AC24" s="8" t="s">
        <v>9</v>
      </c>
      <c r="AD24" s="8">
        <v>1</v>
      </c>
      <c r="AE24" s="8">
        <v>0</v>
      </c>
      <c r="AF24" s="8">
        <v>0</v>
      </c>
      <c r="AG24" s="8">
        <v>0</v>
      </c>
      <c r="AH24" s="8">
        <v>0</v>
      </c>
      <c r="AI24" s="56">
        <f t="shared" si="5"/>
        <v>5</v>
      </c>
      <c r="AJ24" s="153"/>
    </row>
    <row r="25" spans="1:36" x14ac:dyDescent="0.25">
      <c r="A25" s="142" t="s">
        <v>32</v>
      </c>
      <c r="B25" s="124" t="s">
        <v>18</v>
      </c>
      <c r="C25" s="49" t="s">
        <v>48</v>
      </c>
      <c r="D25" s="27">
        <v>19</v>
      </c>
      <c r="E25" s="7">
        <v>10</v>
      </c>
      <c r="F25" s="7">
        <v>19</v>
      </c>
      <c r="G25" s="7">
        <v>5</v>
      </c>
      <c r="H25" s="7" t="s">
        <v>9</v>
      </c>
      <c r="I25" s="7">
        <v>7</v>
      </c>
      <c r="J25" s="7">
        <v>20</v>
      </c>
      <c r="K25" s="7">
        <v>6</v>
      </c>
      <c r="L25" s="7">
        <v>7</v>
      </c>
      <c r="M25" s="7">
        <v>4</v>
      </c>
      <c r="N25" s="7" t="s">
        <v>9</v>
      </c>
      <c r="O25" s="7" t="s">
        <v>9</v>
      </c>
      <c r="P25" s="7">
        <v>4</v>
      </c>
      <c r="Q25" s="7">
        <v>0</v>
      </c>
      <c r="R25" s="7">
        <v>4</v>
      </c>
      <c r="S25" s="7">
        <v>6</v>
      </c>
      <c r="T25" s="7">
        <v>1</v>
      </c>
      <c r="U25" s="7">
        <v>6</v>
      </c>
      <c r="V25" s="7" t="s">
        <v>9</v>
      </c>
      <c r="W25" s="7">
        <v>12</v>
      </c>
      <c r="X25" s="7">
        <v>11</v>
      </c>
      <c r="Y25" s="7">
        <v>14</v>
      </c>
      <c r="Z25" s="7">
        <v>4</v>
      </c>
      <c r="AA25" s="7">
        <v>20</v>
      </c>
      <c r="AB25" s="7" t="s">
        <v>9</v>
      </c>
      <c r="AC25" s="7" t="s">
        <v>9</v>
      </c>
      <c r="AD25" s="7">
        <v>12</v>
      </c>
      <c r="AE25" s="7">
        <v>37</v>
      </c>
      <c r="AF25" s="7">
        <v>20</v>
      </c>
      <c r="AG25" s="7">
        <v>28</v>
      </c>
      <c r="AH25" s="7">
        <v>27</v>
      </c>
      <c r="AI25" s="54">
        <f t="shared" ref="AI25:AI30" si="7">SUM(D25:AH25)</f>
        <v>303</v>
      </c>
      <c r="AJ25" s="154">
        <f t="shared" ref="AJ25" si="8">SUM(AI25:AI30)</f>
        <v>832</v>
      </c>
    </row>
    <row r="26" spans="1:36" x14ac:dyDescent="0.25">
      <c r="A26" s="143"/>
      <c r="B26" s="125"/>
      <c r="C26" s="50" t="s">
        <v>50</v>
      </c>
      <c r="D26" s="38">
        <v>9</v>
      </c>
      <c r="E26" s="14">
        <v>6</v>
      </c>
      <c r="F26" s="14">
        <v>15</v>
      </c>
      <c r="G26" s="14">
        <v>11</v>
      </c>
      <c r="H26" s="14" t="s">
        <v>9</v>
      </c>
      <c r="I26" s="14">
        <v>7</v>
      </c>
      <c r="J26" s="14">
        <v>9</v>
      </c>
      <c r="K26" s="14">
        <v>11</v>
      </c>
      <c r="L26" s="14">
        <v>9</v>
      </c>
      <c r="M26" s="14">
        <v>13</v>
      </c>
      <c r="N26" s="14" t="s">
        <v>9</v>
      </c>
      <c r="O26" s="14" t="s">
        <v>9</v>
      </c>
      <c r="P26" s="14">
        <v>10</v>
      </c>
      <c r="Q26" s="14">
        <v>4</v>
      </c>
      <c r="R26" s="14">
        <v>12</v>
      </c>
      <c r="S26" s="14">
        <v>8</v>
      </c>
      <c r="T26" s="14">
        <v>13</v>
      </c>
      <c r="U26" s="14">
        <v>12</v>
      </c>
      <c r="V26" s="14" t="s">
        <v>9</v>
      </c>
      <c r="W26" s="14">
        <v>15</v>
      </c>
      <c r="X26" s="14">
        <v>5</v>
      </c>
      <c r="Y26" s="14">
        <v>9</v>
      </c>
      <c r="Z26" s="14">
        <v>8</v>
      </c>
      <c r="AA26" s="14">
        <v>11</v>
      </c>
      <c r="AB26" s="14" t="s">
        <v>9</v>
      </c>
      <c r="AC26" s="14" t="s">
        <v>9</v>
      </c>
      <c r="AD26" s="14">
        <v>14</v>
      </c>
      <c r="AE26" s="14">
        <v>10</v>
      </c>
      <c r="AF26" s="14">
        <v>6</v>
      </c>
      <c r="AG26" s="14">
        <v>11</v>
      </c>
      <c r="AH26" s="14">
        <v>10</v>
      </c>
      <c r="AI26" s="55">
        <f t="shared" si="7"/>
        <v>248</v>
      </c>
      <c r="AJ26" s="151"/>
    </row>
    <row r="27" spans="1:36" x14ac:dyDescent="0.25">
      <c r="A27" s="143"/>
      <c r="B27" s="125"/>
      <c r="C27" s="50" t="s">
        <v>49</v>
      </c>
      <c r="D27" s="38">
        <v>0</v>
      </c>
      <c r="E27" s="14">
        <v>0</v>
      </c>
      <c r="F27" s="14">
        <v>0</v>
      </c>
      <c r="G27" s="14">
        <v>0</v>
      </c>
      <c r="H27" s="14" t="s">
        <v>9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 t="s">
        <v>9</v>
      </c>
      <c r="O27" s="14" t="s">
        <v>9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 t="s">
        <v>9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 t="s">
        <v>9</v>
      </c>
      <c r="AC27" s="14" t="s">
        <v>9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55">
        <f t="shared" si="7"/>
        <v>0</v>
      </c>
      <c r="AJ27" s="151"/>
    </row>
    <row r="28" spans="1:36" x14ac:dyDescent="0.25">
      <c r="A28" s="143"/>
      <c r="B28" s="126"/>
      <c r="C28" s="50" t="s">
        <v>51</v>
      </c>
      <c r="D28" s="38">
        <v>2</v>
      </c>
      <c r="E28" s="14">
        <v>0</v>
      </c>
      <c r="F28" s="14">
        <v>3</v>
      </c>
      <c r="G28" s="14">
        <v>3</v>
      </c>
      <c r="H28" s="14" t="s">
        <v>9</v>
      </c>
      <c r="I28" s="14">
        <v>3</v>
      </c>
      <c r="J28" s="14">
        <v>1</v>
      </c>
      <c r="K28" s="14">
        <v>4</v>
      </c>
      <c r="L28" s="14">
        <v>0</v>
      </c>
      <c r="M28" s="14">
        <v>3</v>
      </c>
      <c r="N28" s="14" t="s">
        <v>9</v>
      </c>
      <c r="O28" s="14" t="s">
        <v>9</v>
      </c>
      <c r="P28" s="14">
        <v>0</v>
      </c>
      <c r="Q28" s="14">
        <v>0</v>
      </c>
      <c r="R28" s="14">
        <v>0</v>
      </c>
      <c r="S28" s="14">
        <v>3</v>
      </c>
      <c r="T28" s="14">
        <v>1</v>
      </c>
      <c r="U28" s="14">
        <v>0</v>
      </c>
      <c r="V28" s="14" t="s">
        <v>9</v>
      </c>
      <c r="W28" s="14">
        <v>5</v>
      </c>
      <c r="X28" s="14">
        <v>1</v>
      </c>
      <c r="Y28" s="14">
        <v>2</v>
      </c>
      <c r="Z28" s="14">
        <v>1</v>
      </c>
      <c r="AA28" s="14">
        <v>3</v>
      </c>
      <c r="AB28" s="14" t="s">
        <v>9</v>
      </c>
      <c r="AC28" s="14" t="s">
        <v>9</v>
      </c>
      <c r="AD28" s="14">
        <v>1</v>
      </c>
      <c r="AE28" s="14">
        <v>0</v>
      </c>
      <c r="AF28" s="14">
        <v>0</v>
      </c>
      <c r="AG28" s="14">
        <v>0</v>
      </c>
      <c r="AH28" s="14">
        <v>1</v>
      </c>
      <c r="AI28" s="55">
        <f t="shared" si="7"/>
        <v>37</v>
      </c>
      <c r="AJ28" s="151"/>
    </row>
    <row r="29" spans="1:36" x14ac:dyDescent="0.25">
      <c r="A29" s="143"/>
      <c r="B29" s="127" t="s">
        <v>45</v>
      </c>
      <c r="C29" s="51" t="s">
        <v>46</v>
      </c>
      <c r="D29" s="28">
        <v>13</v>
      </c>
      <c r="E29" s="3">
        <v>5</v>
      </c>
      <c r="F29" s="3">
        <v>10</v>
      </c>
      <c r="G29" s="3">
        <v>17</v>
      </c>
      <c r="H29" s="3" t="s">
        <v>9</v>
      </c>
      <c r="I29" s="3">
        <v>12</v>
      </c>
      <c r="J29" s="3">
        <v>14</v>
      </c>
      <c r="K29" s="3">
        <v>8</v>
      </c>
      <c r="L29" s="3">
        <v>4</v>
      </c>
      <c r="M29" s="3">
        <v>8</v>
      </c>
      <c r="N29" s="3" t="s">
        <v>9</v>
      </c>
      <c r="O29" s="3" t="s">
        <v>9</v>
      </c>
      <c r="P29" s="3">
        <v>3</v>
      </c>
      <c r="Q29" s="3">
        <v>4</v>
      </c>
      <c r="R29" s="3">
        <v>7</v>
      </c>
      <c r="S29" s="3">
        <v>7</v>
      </c>
      <c r="T29" s="3">
        <v>3</v>
      </c>
      <c r="U29" s="3">
        <v>8</v>
      </c>
      <c r="V29" s="3" t="s">
        <v>9</v>
      </c>
      <c r="W29" s="3">
        <v>15</v>
      </c>
      <c r="X29" s="3">
        <v>17</v>
      </c>
      <c r="Y29" s="3">
        <v>14</v>
      </c>
      <c r="Z29" s="3">
        <v>9</v>
      </c>
      <c r="AA29" s="3">
        <v>4</v>
      </c>
      <c r="AB29" s="3" t="s">
        <v>9</v>
      </c>
      <c r="AC29" s="3" t="s">
        <v>9</v>
      </c>
      <c r="AD29" s="3">
        <v>5</v>
      </c>
      <c r="AE29" s="3">
        <v>9</v>
      </c>
      <c r="AF29" s="3">
        <v>8</v>
      </c>
      <c r="AG29" s="3">
        <v>23</v>
      </c>
      <c r="AH29" s="3">
        <v>6</v>
      </c>
      <c r="AI29" s="55">
        <f t="shared" si="7"/>
        <v>233</v>
      </c>
      <c r="AJ29" s="152"/>
    </row>
    <row r="30" spans="1:36" ht="13.5" thickBot="1" x14ac:dyDescent="0.3">
      <c r="A30" s="144"/>
      <c r="B30" s="128"/>
      <c r="C30" s="52" t="s">
        <v>47</v>
      </c>
      <c r="D30" s="26">
        <v>0</v>
      </c>
      <c r="E30" s="8">
        <v>2</v>
      </c>
      <c r="F30" s="8">
        <v>0</v>
      </c>
      <c r="G30" s="8">
        <v>0</v>
      </c>
      <c r="H30" s="8" t="s">
        <v>9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 t="s">
        <v>9</v>
      </c>
      <c r="O30" s="8" t="s">
        <v>9</v>
      </c>
      <c r="P30" s="8">
        <v>0</v>
      </c>
      <c r="Q30" s="8">
        <v>0</v>
      </c>
      <c r="R30" s="8">
        <v>1</v>
      </c>
      <c r="S30" s="8">
        <v>3</v>
      </c>
      <c r="T30" s="8">
        <v>1</v>
      </c>
      <c r="U30" s="8">
        <v>0</v>
      </c>
      <c r="V30" s="8" t="s">
        <v>9</v>
      </c>
      <c r="W30" s="8">
        <v>0</v>
      </c>
      <c r="X30" s="8">
        <v>0</v>
      </c>
      <c r="Y30" s="8">
        <v>0</v>
      </c>
      <c r="Z30" s="8">
        <v>0</v>
      </c>
      <c r="AA30" s="8">
        <v>1</v>
      </c>
      <c r="AB30" s="8" t="s">
        <v>9</v>
      </c>
      <c r="AC30" s="8" t="s">
        <v>9</v>
      </c>
      <c r="AD30" s="8">
        <v>0</v>
      </c>
      <c r="AE30" s="8">
        <v>0</v>
      </c>
      <c r="AF30" s="8">
        <v>0</v>
      </c>
      <c r="AG30" s="8">
        <v>0</v>
      </c>
      <c r="AH30" s="8">
        <v>2</v>
      </c>
      <c r="AI30" s="56">
        <f t="shared" si="7"/>
        <v>11</v>
      </c>
      <c r="AJ30" s="153"/>
    </row>
    <row r="31" spans="1:36" x14ac:dyDescent="0.25">
      <c r="A31" s="89" t="s">
        <v>34</v>
      </c>
      <c r="B31" s="124" t="s">
        <v>18</v>
      </c>
      <c r="C31" s="49" t="s">
        <v>48</v>
      </c>
      <c r="D31" s="27">
        <v>2</v>
      </c>
      <c r="E31" s="7">
        <v>9</v>
      </c>
      <c r="F31" s="7">
        <v>23</v>
      </c>
      <c r="G31" s="7" t="s">
        <v>9</v>
      </c>
      <c r="H31" s="7" t="s">
        <v>9</v>
      </c>
      <c r="I31" s="7">
        <v>8</v>
      </c>
      <c r="J31" s="7">
        <v>7</v>
      </c>
      <c r="K31" s="7">
        <v>11</v>
      </c>
      <c r="L31" s="7">
        <v>4</v>
      </c>
      <c r="M31" s="7">
        <v>5</v>
      </c>
      <c r="N31" s="7">
        <v>15</v>
      </c>
      <c r="O31" s="7" t="s">
        <v>9</v>
      </c>
      <c r="P31" s="7">
        <v>4</v>
      </c>
      <c r="Q31" s="7">
        <v>4</v>
      </c>
      <c r="R31" s="7">
        <v>1</v>
      </c>
      <c r="S31" s="7">
        <v>0</v>
      </c>
      <c r="T31" s="7">
        <v>4</v>
      </c>
      <c r="U31" s="7" t="s">
        <v>9</v>
      </c>
      <c r="V31" s="7">
        <v>10</v>
      </c>
      <c r="W31" s="7">
        <v>6</v>
      </c>
      <c r="X31" s="7" t="s">
        <v>30</v>
      </c>
      <c r="Y31" s="7" t="s">
        <v>30</v>
      </c>
      <c r="Z31" s="7" t="s">
        <v>30</v>
      </c>
      <c r="AA31" s="7" t="s">
        <v>9</v>
      </c>
      <c r="AB31" s="7">
        <v>3</v>
      </c>
      <c r="AC31" s="7" t="s">
        <v>9</v>
      </c>
      <c r="AD31" s="7">
        <v>53</v>
      </c>
      <c r="AE31" s="7">
        <v>13</v>
      </c>
      <c r="AF31" s="7">
        <v>16</v>
      </c>
      <c r="AG31" s="7">
        <v>27</v>
      </c>
      <c r="AH31" s="7">
        <v>27</v>
      </c>
      <c r="AI31" s="54">
        <f t="shared" ref="AI31:AI36" si="9">SUM(D31:AH31)</f>
        <v>252</v>
      </c>
      <c r="AJ31" s="151">
        <f t="shared" ref="AJ31" si="10">SUM(AI31:AI36)</f>
        <v>682</v>
      </c>
    </row>
    <row r="32" spans="1:36" x14ac:dyDescent="0.25">
      <c r="A32" s="121"/>
      <c r="B32" s="125"/>
      <c r="C32" s="50" t="s">
        <v>50</v>
      </c>
      <c r="D32" s="38">
        <v>1</v>
      </c>
      <c r="E32" s="14">
        <v>3</v>
      </c>
      <c r="F32" s="14">
        <v>4</v>
      </c>
      <c r="G32" s="14" t="s">
        <v>9</v>
      </c>
      <c r="H32" s="14" t="s">
        <v>9</v>
      </c>
      <c r="I32" s="14">
        <v>4</v>
      </c>
      <c r="J32" s="14">
        <v>7</v>
      </c>
      <c r="K32" s="14">
        <v>7</v>
      </c>
      <c r="L32" s="14">
        <v>11</v>
      </c>
      <c r="M32" s="14">
        <v>9</v>
      </c>
      <c r="N32" s="14">
        <v>14</v>
      </c>
      <c r="O32" s="14" t="s">
        <v>9</v>
      </c>
      <c r="P32" s="14">
        <v>11</v>
      </c>
      <c r="Q32" s="14">
        <v>10</v>
      </c>
      <c r="R32" s="14">
        <v>9</v>
      </c>
      <c r="S32" s="14">
        <v>9</v>
      </c>
      <c r="T32" s="14">
        <v>5</v>
      </c>
      <c r="U32" s="14" t="s">
        <v>9</v>
      </c>
      <c r="V32" s="14">
        <v>18</v>
      </c>
      <c r="W32" s="14">
        <v>10</v>
      </c>
      <c r="X32" s="14" t="s">
        <v>30</v>
      </c>
      <c r="Y32" s="14" t="s">
        <v>30</v>
      </c>
      <c r="Z32" s="14" t="s">
        <v>30</v>
      </c>
      <c r="AA32" s="14" t="s">
        <v>9</v>
      </c>
      <c r="AB32" s="14">
        <v>19</v>
      </c>
      <c r="AC32" s="14" t="s">
        <v>9</v>
      </c>
      <c r="AD32" s="14">
        <v>5</v>
      </c>
      <c r="AE32" s="14">
        <v>8</v>
      </c>
      <c r="AF32" s="14">
        <v>5</v>
      </c>
      <c r="AG32" s="14">
        <v>4</v>
      </c>
      <c r="AH32" s="14">
        <v>9</v>
      </c>
      <c r="AI32" s="55">
        <f t="shared" si="9"/>
        <v>182</v>
      </c>
      <c r="AJ32" s="151"/>
    </row>
    <row r="33" spans="1:36" x14ac:dyDescent="0.25">
      <c r="A33" s="121"/>
      <c r="B33" s="125"/>
      <c r="C33" s="50" t="s">
        <v>49</v>
      </c>
      <c r="D33" s="38">
        <v>0</v>
      </c>
      <c r="E33" s="14">
        <v>0</v>
      </c>
      <c r="F33" s="14">
        <v>0</v>
      </c>
      <c r="G33" s="14" t="s">
        <v>9</v>
      </c>
      <c r="H33" s="14" t="s">
        <v>9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 t="s">
        <v>9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 t="s">
        <v>9</v>
      </c>
      <c r="V33" s="14">
        <v>0</v>
      </c>
      <c r="W33" s="14">
        <v>0</v>
      </c>
      <c r="X33" s="14" t="s">
        <v>30</v>
      </c>
      <c r="Y33" s="14" t="s">
        <v>30</v>
      </c>
      <c r="Z33" s="14" t="s">
        <v>30</v>
      </c>
      <c r="AA33" s="14" t="s">
        <v>9</v>
      </c>
      <c r="AB33" s="14">
        <v>0</v>
      </c>
      <c r="AC33" s="14" t="s">
        <v>9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55">
        <f t="shared" si="9"/>
        <v>0</v>
      </c>
      <c r="AJ33" s="151"/>
    </row>
    <row r="34" spans="1:36" x14ac:dyDescent="0.25">
      <c r="A34" s="121"/>
      <c r="B34" s="126"/>
      <c r="C34" s="50" t="s">
        <v>51</v>
      </c>
      <c r="D34" s="38">
        <v>0</v>
      </c>
      <c r="E34" s="14">
        <v>1</v>
      </c>
      <c r="F34" s="14">
        <v>2</v>
      </c>
      <c r="G34" s="14" t="s">
        <v>9</v>
      </c>
      <c r="H34" s="14" t="s">
        <v>9</v>
      </c>
      <c r="I34" s="14">
        <v>2</v>
      </c>
      <c r="J34" s="14">
        <v>3</v>
      </c>
      <c r="K34" s="3">
        <v>4</v>
      </c>
      <c r="L34" s="14">
        <v>2</v>
      </c>
      <c r="M34" s="14">
        <v>1</v>
      </c>
      <c r="N34" s="14">
        <v>3</v>
      </c>
      <c r="O34" s="14" t="s">
        <v>9</v>
      </c>
      <c r="P34" s="14">
        <v>3</v>
      </c>
      <c r="Q34" s="14">
        <v>1</v>
      </c>
      <c r="R34" s="14">
        <v>5</v>
      </c>
      <c r="S34" s="14">
        <v>4</v>
      </c>
      <c r="T34" s="14">
        <v>1</v>
      </c>
      <c r="U34" s="14" t="s">
        <v>9</v>
      </c>
      <c r="V34" s="14">
        <v>3</v>
      </c>
      <c r="W34" s="14">
        <v>4</v>
      </c>
      <c r="X34" s="14" t="s">
        <v>30</v>
      </c>
      <c r="Y34" s="14" t="s">
        <v>30</v>
      </c>
      <c r="Z34" s="14" t="s">
        <v>30</v>
      </c>
      <c r="AA34" s="14" t="s">
        <v>9</v>
      </c>
      <c r="AB34" s="14">
        <v>1</v>
      </c>
      <c r="AC34" s="14" t="s">
        <v>9</v>
      </c>
      <c r="AD34" s="14">
        <v>0</v>
      </c>
      <c r="AE34" s="14">
        <v>4</v>
      </c>
      <c r="AF34" s="14">
        <v>3</v>
      </c>
      <c r="AG34" s="14">
        <v>5</v>
      </c>
      <c r="AH34" s="14">
        <v>2</v>
      </c>
      <c r="AI34" s="55">
        <f t="shared" si="9"/>
        <v>54</v>
      </c>
      <c r="AJ34" s="151"/>
    </row>
    <row r="35" spans="1:36" x14ac:dyDescent="0.25">
      <c r="A35" s="90"/>
      <c r="B35" s="127" t="s">
        <v>45</v>
      </c>
      <c r="C35" s="51" t="s">
        <v>46</v>
      </c>
      <c r="D35" s="28">
        <v>5</v>
      </c>
      <c r="E35" s="3">
        <v>15</v>
      </c>
      <c r="F35" s="3">
        <v>4</v>
      </c>
      <c r="G35" s="3" t="s">
        <v>9</v>
      </c>
      <c r="H35" s="3" t="s">
        <v>9</v>
      </c>
      <c r="I35" s="3">
        <v>6</v>
      </c>
      <c r="J35" s="3">
        <v>11</v>
      </c>
      <c r="K35" s="2">
        <v>8</v>
      </c>
      <c r="L35" s="3">
        <v>4</v>
      </c>
      <c r="M35" s="3">
        <v>3</v>
      </c>
      <c r="N35" s="3">
        <v>10</v>
      </c>
      <c r="O35" s="3" t="s">
        <v>9</v>
      </c>
      <c r="P35" s="3">
        <v>4</v>
      </c>
      <c r="Q35" s="3">
        <v>4</v>
      </c>
      <c r="R35" s="3">
        <v>13</v>
      </c>
      <c r="S35" s="3">
        <v>12</v>
      </c>
      <c r="T35" s="3">
        <v>5</v>
      </c>
      <c r="U35" s="3" t="s">
        <v>9</v>
      </c>
      <c r="V35" s="3">
        <v>6</v>
      </c>
      <c r="W35" s="3">
        <v>11</v>
      </c>
      <c r="X35" s="3" t="s">
        <v>30</v>
      </c>
      <c r="Y35" s="3" t="s">
        <v>30</v>
      </c>
      <c r="Z35" s="3" t="s">
        <v>30</v>
      </c>
      <c r="AA35" s="3" t="s">
        <v>9</v>
      </c>
      <c r="AB35" s="3">
        <v>10</v>
      </c>
      <c r="AC35" s="3" t="s">
        <v>9</v>
      </c>
      <c r="AD35" s="3">
        <v>2</v>
      </c>
      <c r="AE35" s="3">
        <v>18</v>
      </c>
      <c r="AF35" s="3">
        <v>13</v>
      </c>
      <c r="AG35" s="3">
        <v>18</v>
      </c>
      <c r="AH35" s="3">
        <v>9</v>
      </c>
      <c r="AI35" s="55">
        <f t="shared" si="9"/>
        <v>191</v>
      </c>
      <c r="AJ35" s="152"/>
    </row>
    <row r="36" spans="1:36" ht="13.5" thickBot="1" x14ac:dyDescent="0.3">
      <c r="A36" s="91"/>
      <c r="B36" s="128"/>
      <c r="C36" s="52" t="s">
        <v>47</v>
      </c>
      <c r="D36" s="26">
        <v>0</v>
      </c>
      <c r="E36" s="8">
        <v>0</v>
      </c>
      <c r="F36" s="8">
        <v>0</v>
      </c>
      <c r="G36" s="8" t="s">
        <v>9</v>
      </c>
      <c r="H36" s="8" t="s">
        <v>9</v>
      </c>
      <c r="I36" s="8">
        <v>0</v>
      </c>
      <c r="J36" s="8">
        <v>1</v>
      </c>
      <c r="K36" s="8">
        <v>0</v>
      </c>
      <c r="L36" s="8">
        <v>0</v>
      </c>
      <c r="M36" s="8">
        <v>0</v>
      </c>
      <c r="N36" s="8">
        <v>0</v>
      </c>
      <c r="O36" s="8" t="s">
        <v>9</v>
      </c>
      <c r="P36" s="8">
        <v>0</v>
      </c>
      <c r="Q36" s="8">
        <v>0</v>
      </c>
      <c r="R36" s="8">
        <v>0</v>
      </c>
      <c r="S36" s="8">
        <v>0</v>
      </c>
      <c r="T36" s="8">
        <v>2</v>
      </c>
      <c r="U36" s="8" t="s">
        <v>9</v>
      </c>
      <c r="V36" s="8">
        <v>0</v>
      </c>
      <c r="W36" s="8">
        <v>0</v>
      </c>
      <c r="X36" s="8" t="s">
        <v>30</v>
      </c>
      <c r="Y36" s="8" t="s">
        <v>30</v>
      </c>
      <c r="Z36" s="8" t="s">
        <v>30</v>
      </c>
      <c r="AA36" s="8" t="s">
        <v>9</v>
      </c>
      <c r="AB36" s="8">
        <v>0</v>
      </c>
      <c r="AC36" s="8" t="s">
        <v>9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56">
        <f t="shared" si="9"/>
        <v>3</v>
      </c>
      <c r="AJ36" s="153"/>
    </row>
    <row r="37" spans="1:36" x14ac:dyDescent="0.25">
      <c r="A37" s="106" t="s">
        <v>35</v>
      </c>
      <c r="B37" s="124" t="s">
        <v>18</v>
      </c>
      <c r="C37" s="49" t="s">
        <v>48</v>
      </c>
      <c r="D37" s="27">
        <v>35</v>
      </c>
      <c r="E37" s="7">
        <v>3</v>
      </c>
      <c r="F37" s="7">
        <v>0</v>
      </c>
      <c r="G37" s="7" t="s">
        <v>9</v>
      </c>
      <c r="H37" s="7" t="s">
        <v>9</v>
      </c>
      <c r="I37" s="7" t="s">
        <v>9</v>
      </c>
      <c r="J37" s="7">
        <v>10</v>
      </c>
      <c r="K37" s="7">
        <v>12</v>
      </c>
      <c r="L37" s="7">
        <v>2</v>
      </c>
      <c r="M37" s="7">
        <v>10</v>
      </c>
      <c r="N37" s="7" t="s">
        <v>9</v>
      </c>
      <c r="O37" s="7" t="s">
        <v>9</v>
      </c>
      <c r="P37" s="20">
        <v>0</v>
      </c>
      <c r="Q37" s="7">
        <v>0</v>
      </c>
      <c r="R37" s="7">
        <v>0</v>
      </c>
      <c r="S37" s="7">
        <v>0</v>
      </c>
      <c r="T37" s="7">
        <v>2</v>
      </c>
      <c r="U37" s="7" t="s">
        <v>9</v>
      </c>
      <c r="V37" s="7" t="s">
        <v>9</v>
      </c>
      <c r="W37" s="7">
        <v>10</v>
      </c>
      <c r="X37" s="7">
        <v>22</v>
      </c>
      <c r="Y37" s="7">
        <v>8</v>
      </c>
      <c r="Z37" s="7">
        <v>16</v>
      </c>
      <c r="AA37" s="7">
        <v>5</v>
      </c>
      <c r="AB37" s="7" t="s">
        <v>9</v>
      </c>
      <c r="AC37" s="7" t="s">
        <v>9</v>
      </c>
      <c r="AD37" s="7">
        <v>9</v>
      </c>
      <c r="AE37" s="7">
        <v>50</v>
      </c>
      <c r="AF37" s="7">
        <v>9</v>
      </c>
      <c r="AG37" s="7">
        <v>50</v>
      </c>
      <c r="AH37" s="7">
        <v>21</v>
      </c>
      <c r="AI37" s="54">
        <f t="shared" ref="AI37:AI42" si="11">SUM(D37:AH37)</f>
        <v>274</v>
      </c>
      <c r="AJ37" s="154">
        <f>SUM(AI37:AI42)</f>
        <v>677</v>
      </c>
    </row>
    <row r="38" spans="1:36" x14ac:dyDescent="0.25">
      <c r="A38" s="123"/>
      <c r="B38" s="125"/>
      <c r="C38" s="50" t="s">
        <v>50</v>
      </c>
      <c r="D38" s="38">
        <v>5</v>
      </c>
      <c r="E38" s="14">
        <v>8</v>
      </c>
      <c r="F38" s="14">
        <v>1</v>
      </c>
      <c r="G38" s="14" t="s">
        <v>9</v>
      </c>
      <c r="H38" s="14" t="s">
        <v>9</v>
      </c>
      <c r="I38" s="14" t="s">
        <v>9</v>
      </c>
      <c r="J38" s="14">
        <v>8</v>
      </c>
      <c r="K38" s="14">
        <v>8</v>
      </c>
      <c r="L38" s="14">
        <v>7</v>
      </c>
      <c r="M38" s="14">
        <v>15</v>
      </c>
      <c r="N38" s="14" t="s">
        <v>9</v>
      </c>
      <c r="O38" s="14" t="s">
        <v>9</v>
      </c>
      <c r="P38" s="22">
        <v>7</v>
      </c>
      <c r="Q38" s="14">
        <v>5</v>
      </c>
      <c r="R38" s="14">
        <v>6</v>
      </c>
      <c r="S38" s="14">
        <v>1</v>
      </c>
      <c r="T38" s="14">
        <v>0</v>
      </c>
      <c r="U38" s="14" t="s">
        <v>9</v>
      </c>
      <c r="V38" s="14" t="s">
        <v>9</v>
      </c>
      <c r="W38" s="14">
        <v>3</v>
      </c>
      <c r="X38" s="14">
        <v>6</v>
      </c>
      <c r="Y38" s="14">
        <v>8</v>
      </c>
      <c r="Z38" s="14">
        <v>3</v>
      </c>
      <c r="AA38" s="14">
        <v>8</v>
      </c>
      <c r="AB38" s="14" t="s">
        <v>9</v>
      </c>
      <c r="AC38" s="14" t="s">
        <v>9</v>
      </c>
      <c r="AD38" s="14">
        <v>3</v>
      </c>
      <c r="AE38" s="14">
        <v>6</v>
      </c>
      <c r="AF38" s="14">
        <v>2</v>
      </c>
      <c r="AG38" s="14">
        <v>2</v>
      </c>
      <c r="AH38" s="14">
        <v>3</v>
      </c>
      <c r="AI38" s="55">
        <f t="shared" si="11"/>
        <v>115</v>
      </c>
      <c r="AJ38" s="151"/>
    </row>
    <row r="39" spans="1:36" x14ac:dyDescent="0.25">
      <c r="A39" s="123"/>
      <c r="B39" s="125"/>
      <c r="C39" s="50" t="s">
        <v>49</v>
      </c>
      <c r="D39" s="38">
        <v>0</v>
      </c>
      <c r="E39" s="14">
        <v>0</v>
      </c>
      <c r="F39" s="14">
        <v>0</v>
      </c>
      <c r="G39" s="14" t="s">
        <v>9</v>
      </c>
      <c r="H39" s="14" t="s">
        <v>9</v>
      </c>
      <c r="I39" s="14" t="s">
        <v>9</v>
      </c>
      <c r="J39" s="14">
        <v>0</v>
      </c>
      <c r="K39" s="14">
        <v>0</v>
      </c>
      <c r="L39" s="14">
        <v>0</v>
      </c>
      <c r="M39" s="14">
        <v>0</v>
      </c>
      <c r="N39" s="14" t="s">
        <v>9</v>
      </c>
      <c r="O39" s="14" t="s">
        <v>9</v>
      </c>
      <c r="P39" s="22">
        <v>0</v>
      </c>
      <c r="Q39" s="14">
        <v>0</v>
      </c>
      <c r="R39" s="14">
        <v>0</v>
      </c>
      <c r="S39" s="14">
        <v>0</v>
      </c>
      <c r="T39" s="14">
        <v>0</v>
      </c>
      <c r="U39" s="14" t="s">
        <v>9</v>
      </c>
      <c r="V39" s="14" t="s">
        <v>9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 t="s">
        <v>9</v>
      </c>
      <c r="AC39" s="14" t="s">
        <v>9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55">
        <f t="shared" si="11"/>
        <v>0</v>
      </c>
      <c r="AJ39" s="151"/>
    </row>
    <row r="40" spans="1:36" x14ac:dyDescent="0.25">
      <c r="A40" s="123"/>
      <c r="B40" s="126"/>
      <c r="C40" s="50" t="s">
        <v>51</v>
      </c>
      <c r="D40" s="38">
        <v>6</v>
      </c>
      <c r="E40" s="14">
        <v>1</v>
      </c>
      <c r="F40" s="14">
        <v>1</v>
      </c>
      <c r="G40" s="14" t="s">
        <v>9</v>
      </c>
      <c r="H40" s="14" t="s">
        <v>9</v>
      </c>
      <c r="I40" s="14" t="s">
        <v>9</v>
      </c>
      <c r="J40" s="14">
        <v>2</v>
      </c>
      <c r="K40" s="14">
        <v>1</v>
      </c>
      <c r="L40" s="14">
        <v>0</v>
      </c>
      <c r="M40" s="14">
        <v>1</v>
      </c>
      <c r="N40" s="14" t="s">
        <v>9</v>
      </c>
      <c r="O40" s="14" t="s">
        <v>9</v>
      </c>
      <c r="P40" s="22">
        <v>1</v>
      </c>
      <c r="Q40" s="14">
        <v>1</v>
      </c>
      <c r="R40" s="14">
        <v>1</v>
      </c>
      <c r="S40" s="14">
        <v>1</v>
      </c>
      <c r="T40" s="14">
        <v>0</v>
      </c>
      <c r="U40" s="14" t="s">
        <v>9</v>
      </c>
      <c r="V40" s="14" t="s">
        <v>9</v>
      </c>
      <c r="W40" s="14">
        <v>2</v>
      </c>
      <c r="X40" s="14">
        <v>0</v>
      </c>
      <c r="Y40" s="14">
        <v>10</v>
      </c>
      <c r="Z40" s="14">
        <v>1</v>
      </c>
      <c r="AA40" s="14">
        <v>2</v>
      </c>
      <c r="AB40" s="14" t="s">
        <v>9</v>
      </c>
      <c r="AC40" s="14" t="s">
        <v>9</v>
      </c>
      <c r="AD40" s="14">
        <v>1</v>
      </c>
      <c r="AE40" s="14">
        <v>0</v>
      </c>
      <c r="AF40" s="14">
        <v>0</v>
      </c>
      <c r="AG40" s="14">
        <v>2</v>
      </c>
      <c r="AH40" s="14">
        <v>0</v>
      </c>
      <c r="AI40" s="55">
        <f t="shared" si="11"/>
        <v>34</v>
      </c>
      <c r="AJ40" s="151"/>
    </row>
    <row r="41" spans="1:36" x14ac:dyDescent="0.25">
      <c r="A41" s="72"/>
      <c r="B41" s="127" t="s">
        <v>45</v>
      </c>
      <c r="C41" s="51" t="s">
        <v>46</v>
      </c>
      <c r="D41" s="28">
        <v>24</v>
      </c>
      <c r="E41" s="3">
        <v>9</v>
      </c>
      <c r="F41" s="3">
        <v>3</v>
      </c>
      <c r="G41" s="3" t="s">
        <v>9</v>
      </c>
      <c r="H41" s="3" t="s">
        <v>9</v>
      </c>
      <c r="I41" s="3" t="s">
        <v>9</v>
      </c>
      <c r="J41" s="3">
        <v>12</v>
      </c>
      <c r="K41" s="3">
        <v>4</v>
      </c>
      <c r="L41" s="3">
        <v>3</v>
      </c>
      <c r="M41" s="3">
        <v>5</v>
      </c>
      <c r="N41" s="3" t="s">
        <v>9</v>
      </c>
      <c r="O41" s="3" t="s">
        <v>9</v>
      </c>
      <c r="P41" s="17">
        <v>4</v>
      </c>
      <c r="Q41" s="3">
        <v>2</v>
      </c>
      <c r="R41" s="3">
        <v>7</v>
      </c>
      <c r="S41" s="3">
        <v>1</v>
      </c>
      <c r="T41" s="3">
        <v>9</v>
      </c>
      <c r="U41" s="3" t="s">
        <v>9</v>
      </c>
      <c r="V41" s="3" t="s">
        <v>9</v>
      </c>
      <c r="W41" s="3">
        <v>8</v>
      </c>
      <c r="X41" s="3">
        <v>27</v>
      </c>
      <c r="Y41" s="3">
        <v>16</v>
      </c>
      <c r="Z41" s="3">
        <v>6</v>
      </c>
      <c r="AA41" s="3">
        <v>7</v>
      </c>
      <c r="AB41" s="3" t="s">
        <v>9</v>
      </c>
      <c r="AC41" s="3" t="s">
        <v>9</v>
      </c>
      <c r="AD41" s="3">
        <v>15</v>
      </c>
      <c r="AE41" s="3">
        <v>18</v>
      </c>
      <c r="AF41" s="3">
        <v>4</v>
      </c>
      <c r="AG41" s="3">
        <v>57</v>
      </c>
      <c r="AH41" s="3">
        <v>5</v>
      </c>
      <c r="AI41" s="55">
        <f t="shared" si="11"/>
        <v>246</v>
      </c>
      <c r="AJ41" s="152"/>
    </row>
    <row r="42" spans="1:36" ht="13.5" thickBot="1" x14ac:dyDescent="0.3">
      <c r="A42" s="107"/>
      <c r="B42" s="128"/>
      <c r="C42" s="52" t="s">
        <v>47</v>
      </c>
      <c r="D42" s="26">
        <v>0</v>
      </c>
      <c r="E42" s="8">
        <v>1</v>
      </c>
      <c r="F42" s="8">
        <v>0</v>
      </c>
      <c r="G42" s="8" t="s">
        <v>9</v>
      </c>
      <c r="H42" s="8" t="s">
        <v>9</v>
      </c>
      <c r="I42" s="8" t="s">
        <v>9</v>
      </c>
      <c r="J42" s="8">
        <v>0</v>
      </c>
      <c r="K42" s="8">
        <v>0</v>
      </c>
      <c r="L42" s="8">
        <v>1</v>
      </c>
      <c r="M42" s="8">
        <v>0</v>
      </c>
      <c r="N42" s="8" t="s">
        <v>9</v>
      </c>
      <c r="O42" s="8" t="s">
        <v>9</v>
      </c>
      <c r="P42" s="21">
        <v>0</v>
      </c>
      <c r="Q42" s="8">
        <v>0</v>
      </c>
      <c r="R42" s="8">
        <v>2</v>
      </c>
      <c r="S42" s="8">
        <v>0</v>
      </c>
      <c r="T42" s="8">
        <v>0</v>
      </c>
      <c r="U42" s="8" t="s">
        <v>9</v>
      </c>
      <c r="V42" s="8" t="s">
        <v>9</v>
      </c>
      <c r="W42" s="3">
        <v>0</v>
      </c>
      <c r="X42" s="8">
        <v>0</v>
      </c>
      <c r="Y42" s="8">
        <v>1</v>
      </c>
      <c r="Z42" s="8">
        <v>0</v>
      </c>
      <c r="AA42" s="8">
        <v>0</v>
      </c>
      <c r="AB42" s="8" t="s">
        <v>9</v>
      </c>
      <c r="AC42" s="8" t="s">
        <v>9</v>
      </c>
      <c r="AD42" s="8">
        <v>0</v>
      </c>
      <c r="AE42" s="8">
        <v>0</v>
      </c>
      <c r="AF42" s="8">
        <v>2</v>
      </c>
      <c r="AG42" s="8">
        <v>1</v>
      </c>
      <c r="AH42" s="8">
        <v>0</v>
      </c>
      <c r="AI42" s="56">
        <f t="shared" si="11"/>
        <v>8</v>
      </c>
      <c r="AJ42" s="153"/>
    </row>
    <row r="43" spans="1:36" x14ac:dyDescent="0.25">
      <c r="A43" s="124" t="s">
        <v>52</v>
      </c>
      <c r="B43" s="124" t="s">
        <v>18</v>
      </c>
      <c r="C43" s="49" t="s">
        <v>48</v>
      </c>
      <c r="D43" s="27">
        <v>15</v>
      </c>
      <c r="E43" s="7">
        <v>6</v>
      </c>
      <c r="F43" s="7">
        <v>17</v>
      </c>
      <c r="G43" s="7" t="s">
        <v>9</v>
      </c>
      <c r="H43" s="7" t="s">
        <v>9</v>
      </c>
      <c r="I43" s="7">
        <v>4</v>
      </c>
      <c r="J43" s="7">
        <v>10</v>
      </c>
      <c r="K43" s="7">
        <v>13</v>
      </c>
      <c r="L43" s="7">
        <v>3</v>
      </c>
      <c r="M43" s="7">
        <v>1</v>
      </c>
      <c r="N43" s="7">
        <v>7</v>
      </c>
      <c r="O43" s="7" t="s">
        <v>9</v>
      </c>
      <c r="P43" s="7">
        <v>0</v>
      </c>
      <c r="Q43" s="7">
        <v>0</v>
      </c>
      <c r="R43" s="7">
        <v>0</v>
      </c>
      <c r="S43" s="7">
        <v>1</v>
      </c>
      <c r="T43" s="7">
        <v>0</v>
      </c>
      <c r="U43" s="7" t="s">
        <v>9</v>
      </c>
      <c r="V43" s="7" t="s">
        <v>9</v>
      </c>
      <c r="W43" s="7">
        <v>1</v>
      </c>
      <c r="X43" s="7">
        <v>11</v>
      </c>
      <c r="Y43" s="7">
        <v>4</v>
      </c>
      <c r="Z43" s="7">
        <v>4</v>
      </c>
      <c r="AA43" s="7">
        <v>10</v>
      </c>
      <c r="AB43" s="7">
        <v>4</v>
      </c>
      <c r="AC43" s="7" t="s">
        <v>9</v>
      </c>
      <c r="AD43" s="7">
        <v>0</v>
      </c>
      <c r="AE43" s="7">
        <v>48</v>
      </c>
      <c r="AF43" s="7">
        <v>16</v>
      </c>
      <c r="AG43" s="7">
        <v>27</v>
      </c>
      <c r="AH43" s="7">
        <v>17</v>
      </c>
      <c r="AI43" s="54">
        <f t="shared" ref="AI43:AI48" si="12">SUM(D43:AH43)</f>
        <v>219</v>
      </c>
      <c r="AJ43" s="154">
        <f>SUM(AI43:AI48)</f>
        <v>480</v>
      </c>
    </row>
    <row r="44" spans="1:36" x14ac:dyDescent="0.25">
      <c r="A44" s="125"/>
      <c r="B44" s="125"/>
      <c r="C44" s="50" t="s">
        <v>50</v>
      </c>
      <c r="D44" s="38">
        <v>6</v>
      </c>
      <c r="E44" s="14">
        <v>3</v>
      </c>
      <c r="F44" s="14">
        <v>3</v>
      </c>
      <c r="G44" s="14" t="s">
        <v>9</v>
      </c>
      <c r="H44" s="14" t="s">
        <v>9</v>
      </c>
      <c r="I44" s="14">
        <v>6</v>
      </c>
      <c r="J44" s="14">
        <v>8</v>
      </c>
      <c r="K44" s="14">
        <v>6</v>
      </c>
      <c r="L44" s="14">
        <v>7</v>
      </c>
      <c r="M44" s="14">
        <v>4</v>
      </c>
      <c r="N44" s="14">
        <v>6</v>
      </c>
      <c r="O44" s="14" t="s">
        <v>9</v>
      </c>
      <c r="P44" s="14">
        <v>9</v>
      </c>
      <c r="Q44" s="14">
        <v>6</v>
      </c>
      <c r="R44" s="14">
        <v>11</v>
      </c>
      <c r="S44" s="14">
        <v>6</v>
      </c>
      <c r="T44" s="14">
        <v>4</v>
      </c>
      <c r="U44" s="14" t="s">
        <v>9</v>
      </c>
      <c r="V44" s="14" t="s">
        <v>9</v>
      </c>
      <c r="W44" s="14">
        <v>12</v>
      </c>
      <c r="X44" s="14">
        <v>3</v>
      </c>
      <c r="Y44" s="14">
        <v>2</v>
      </c>
      <c r="Z44" s="14">
        <v>1</v>
      </c>
      <c r="AA44" s="14">
        <v>3</v>
      </c>
      <c r="AB44" s="14">
        <v>3</v>
      </c>
      <c r="AC44" s="14" t="s">
        <v>9</v>
      </c>
      <c r="AD44" s="14">
        <v>2</v>
      </c>
      <c r="AE44" s="14">
        <v>2</v>
      </c>
      <c r="AF44" s="14">
        <v>3</v>
      </c>
      <c r="AG44" s="14">
        <v>1</v>
      </c>
      <c r="AH44" s="14">
        <v>3</v>
      </c>
      <c r="AI44" s="55">
        <f t="shared" si="12"/>
        <v>120</v>
      </c>
      <c r="AJ44" s="151"/>
    </row>
    <row r="45" spans="1:36" x14ac:dyDescent="0.25">
      <c r="A45" s="125"/>
      <c r="B45" s="125"/>
      <c r="C45" s="50" t="s">
        <v>49</v>
      </c>
      <c r="D45" s="38">
        <v>0</v>
      </c>
      <c r="E45" s="14">
        <v>0</v>
      </c>
      <c r="F45" s="14">
        <v>0</v>
      </c>
      <c r="G45" s="14" t="s">
        <v>9</v>
      </c>
      <c r="H45" s="14" t="s">
        <v>9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 t="s">
        <v>9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 t="s">
        <v>9</v>
      </c>
      <c r="V45" s="14" t="s">
        <v>9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 t="s">
        <v>9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55">
        <f t="shared" si="12"/>
        <v>0</v>
      </c>
      <c r="AJ45" s="151"/>
    </row>
    <row r="46" spans="1:36" x14ac:dyDescent="0.25">
      <c r="A46" s="125"/>
      <c r="B46" s="126"/>
      <c r="C46" s="50" t="s">
        <v>51</v>
      </c>
      <c r="D46" s="38">
        <v>0</v>
      </c>
      <c r="E46" s="14">
        <v>0</v>
      </c>
      <c r="F46" s="14">
        <v>0</v>
      </c>
      <c r="G46" s="14" t="s">
        <v>9</v>
      </c>
      <c r="H46" s="14" t="s">
        <v>9</v>
      </c>
      <c r="I46" s="14">
        <v>0</v>
      </c>
      <c r="J46" s="14">
        <v>4</v>
      </c>
      <c r="K46" s="14">
        <v>2</v>
      </c>
      <c r="L46" s="14">
        <v>1</v>
      </c>
      <c r="M46" s="14">
        <v>1</v>
      </c>
      <c r="N46" s="14">
        <v>0</v>
      </c>
      <c r="O46" s="14" t="s">
        <v>9</v>
      </c>
      <c r="P46" s="14">
        <v>0</v>
      </c>
      <c r="Q46" s="14">
        <v>2</v>
      </c>
      <c r="R46" s="14">
        <v>1</v>
      </c>
      <c r="S46" s="14">
        <v>1</v>
      </c>
      <c r="T46" s="14">
        <v>0</v>
      </c>
      <c r="U46" s="14" t="s">
        <v>9</v>
      </c>
      <c r="V46" s="14" t="s">
        <v>9</v>
      </c>
      <c r="W46" s="14">
        <v>2</v>
      </c>
      <c r="X46" s="14">
        <v>0</v>
      </c>
      <c r="Y46" s="14">
        <v>0</v>
      </c>
      <c r="Z46" s="14">
        <v>0</v>
      </c>
      <c r="AA46" s="14">
        <v>3</v>
      </c>
      <c r="AB46" s="14">
        <v>1</v>
      </c>
      <c r="AC46" s="14" t="s">
        <v>9</v>
      </c>
      <c r="AD46" s="14">
        <v>0</v>
      </c>
      <c r="AE46" s="14">
        <v>0</v>
      </c>
      <c r="AF46" s="14">
        <v>1</v>
      </c>
      <c r="AG46" s="14">
        <v>0</v>
      </c>
      <c r="AH46" s="14">
        <v>0</v>
      </c>
      <c r="AI46" s="55">
        <f t="shared" si="12"/>
        <v>19</v>
      </c>
      <c r="AJ46" s="151"/>
    </row>
    <row r="47" spans="1:36" x14ac:dyDescent="0.25">
      <c r="A47" s="125"/>
      <c r="B47" s="127" t="s">
        <v>45</v>
      </c>
      <c r="C47" s="51" t="s">
        <v>46</v>
      </c>
      <c r="D47" s="28">
        <v>11</v>
      </c>
      <c r="E47" s="3">
        <v>3</v>
      </c>
      <c r="F47" s="3">
        <v>0</v>
      </c>
      <c r="G47" s="3" t="s">
        <v>9</v>
      </c>
      <c r="H47" s="3" t="s">
        <v>9</v>
      </c>
      <c r="I47" s="3">
        <v>2</v>
      </c>
      <c r="J47" s="3">
        <v>9</v>
      </c>
      <c r="K47" s="3">
        <v>4</v>
      </c>
      <c r="L47" s="3">
        <v>1</v>
      </c>
      <c r="M47" s="3">
        <v>1</v>
      </c>
      <c r="N47" s="3">
        <v>0</v>
      </c>
      <c r="O47" s="3" t="s">
        <v>9</v>
      </c>
      <c r="P47" s="3">
        <v>3</v>
      </c>
      <c r="Q47" s="3">
        <v>4</v>
      </c>
      <c r="R47" s="3">
        <v>6</v>
      </c>
      <c r="S47" s="3">
        <v>2</v>
      </c>
      <c r="T47" s="3">
        <v>4</v>
      </c>
      <c r="U47" s="3" t="s">
        <v>9</v>
      </c>
      <c r="V47" s="3" t="s">
        <v>9</v>
      </c>
      <c r="W47" s="3">
        <v>8</v>
      </c>
      <c r="X47" s="3">
        <v>3</v>
      </c>
      <c r="Y47" s="3">
        <v>2</v>
      </c>
      <c r="Z47" s="3">
        <v>4</v>
      </c>
      <c r="AA47" s="3">
        <v>5</v>
      </c>
      <c r="AB47" s="3">
        <v>2</v>
      </c>
      <c r="AC47" s="3" t="s">
        <v>9</v>
      </c>
      <c r="AD47" s="3">
        <v>2</v>
      </c>
      <c r="AE47" s="3">
        <v>7</v>
      </c>
      <c r="AF47" s="3">
        <v>4</v>
      </c>
      <c r="AG47" s="3">
        <v>21</v>
      </c>
      <c r="AH47" s="3">
        <v>7</v>
      </c>
      <c r="AI47" s="55">
        <f t="shared" si="12"/>
        <v>115</v>
      </c>
      <c r="AJ47" s="152"/>
    </row>
    <row r="48" spans="1:36" ht="13.5" thickBot="1" x14ac:dyDescent="0.3">
      <c r="A48" s="128"/>
      <c r="B48" s="128"/>
      <c r="C48" s="52" t="s">
        <v>47</v>
      </c>
      <c r="D48" s="26">
        <v>0</v>
      </c>
      <c r="E48" s="8">
        <v>1</v>
      </c>
      <c r="F48" s="8">
        <v>2</v>
      </c>
      <c r="G48" s="8" t="s">
        <v>9</v>
      </c>
      <c r="H48" s="8" t="s">
        <v>9</v>
      </c>
      <c r="I48" s="8">
        <v>0</v>
      </c>
      <c r="J48" s="8">
        <v>0</v>
      </c>
      <c r="K48" s="8">
        <v>1</v>
      </c>
      <c r="L48" s="8">
        <v>1</v>
      </c>
      <c r="M48" s="8">
        <v>0</v>
      </c>
      <c r="N48" s="8">
        <v>0</v>
      </c>
      <c r="O48" s="8" t="s">
        <v>9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 t="s">
        <v>9</v>
      </c>
      <c r="V48" s="8" t="s">
        <v>9</v>
      </c>
      <c r="W48" s="8">
        <v>0</v>
      </c>
      <c r="X48" s="8">
        <v>0</v>
      </c>
      <c r="Y48" s="8">
        <v>1</v>
      </c>
      <c r="Z48" s="8">
        <v>0</v>
      </c>
      <c r="AA48" s="8">
        <v>0</v>
      </c>
      <c r="AB48" s="8">
        <v>0</v>
      </c>
      <c r="AC48" s="8" t="s">
        <v>9</v>
      </c>
      <c r="AD48" s="3">
        <v>0</v>
      </c>
      <c r="AE48" s="8">
        <v>0</v>
      </c>
      <c r="AF48" s="8">
        <v>0</v>
      </c>
      <c r="AG48" s="8">
        <v>0</v>
      </c>
      <c r="AH48" s="8">
        <v>0</v>
      </c>
      <c r="AI48" s="56">
        <f t="shared" si="12"/>
        <v>7</v>
      </c>
      <c r="AJ48" s="153"/>
    </row>
    <row r="49" spans="1:36" x14ac:dyDescent="0.25">
      <c r="A49" s="129" t="s">
        <v>65</v>
      </c>
      <c r="B49" s="124" t="s">
        <v>18</v>
      </c>
      <c r="C49" s="49" t="s">
        <v>48</v>
      </c>
      <c r="D49" s="27">
        <v>8</v>
      </c>
      <c r="E49" s="7">
        <v>32</v>
      </c>
      <c r="F49" s="7">
        <v>2</v>
      </c>
      <c r="G49" s="7" t="s">
        <v>9</v>
      </c>
      <c r="H49" s="7" t="s">
        <v>9</v>
      </c>
      <c r="I49" s="7">
        <v>6</v>
      </c>
      <c r="J49" s="7">
        <v>7</v>
      </c>
      <c r="K49" s="7">
        <v>7</v>
      </c>
      <c r="L49" s="7">
        <v>4</v>
      </c>
      <c r="M49" s="7">
        <v>13</v>
      </c>
      <c r="N49" s="7" t="s">
        <v>9</v>
      </c>
      <c r="O49" s="7" t="s">
        <v>9</v>
      </c>
      <c r="P49" s="7">
        <v>3</v>
      </c>
      <c r="Q49" s="20">
        <v>2</v>
      </c>
      <c r="R49" s="7">
        <v>2</v>
      </c>
      <c r="S49" s="7">
        <v>0</v>
      </c>
      <c r="T49" s="7">
        <v>1</v>
      </c>
      <c r="U49" s="7">
        <v>11</v>
      </c>
      <c r="V49" s="7" t="s">
        <v>9</v>
      </c>
      <c r="W49" s="7">
        <v>2</v>
      </c>
      <c r="X49" s="7">
        <v>1</v>
      </c>
      <c r="Y49" s="7">
        <v>21</v>
      </c>
      <c r="Z49" s="7">
        <v>13</v>
      </c>
      <c r="AA49" s="7">
        <v>3</v>
      </c>
      <c r="AB49" s="7">
        <v>1</v>
      </c>
      <c r="AC49" s="7" t="s">
        <v>9</v>
      </c>
      <c r="AD49" s="7" t="s">
        <v>9</v>
      </c>
      <c r="AE49" s="7">
        <v>12</v>
      </c>
      <c r="AF49" s="7">
        <v>7</v>
      </c>
      <c r="AG49" s="7">
        <v>4</v>
      </c>
      <c r="AH49" s="7">
        <v>35</v>
      </c>
      <c r="AI49" s="57">
        <f t="shared" ref="AI49:AI54" si="13">SUM(D49:AH49)</f>
        <v>197</v>
      </c>
      <c r="AJ49" s="154">
        <f>SUM(AI49:AI54)</f>
        <v>459</v>
      </c>
    </row>
    <row r="50" spans="1:36" x14ac:dyDescent="0.25">
      <c r="A50" s="126"/>
      <c r="B50" s="125"/>
      <c r="C50" s="50" t="s">
        <v>50</v>
      </c>
      <c r="D50" s="38">
        <v>3</v>
      </c>
      <c r="E50" s="3">
        <v>5</v>
      </c>
      <c r="F50" s="3">
        <v>1</v>
      </c>
      <c r="G50" s="3" t="s">
        <v>9</v>
      </c>
      <c r="H50" s="14" t="s">
        <v>9</v>
      </c>
      <c r="I50" s="14">
        <v>4</v>
      </c>
      <c r="J50" s="14">
        <v>1</v>
      </c>
      <c r="K50" s="14">
        <v>1</v>
      </c>
      <c r="L50" s="3">
        <v>4</v>
      </c>
      <c r="M50" s="3">
        <v>5</v>
      </c>
      <c r="N50" s="14" t="s">
        <v>9</v>
      </c>
      <c r="O50" s="14" t="s">
        <v>9</v>
      </c>
      <c r="P50" s="3">
        <v>6</v>
      </c>
      <c r="Q50" s="22">
        <v>3</v>
      </c>
      <c r="R50" s="14">
        <v>1</v>
      </c>
      <c r="S50" s="14">
        <v>2</v>
      </c>
      <c r="T50" s="14">
        <v>3</v>
      </c>
      <c r="U50" s="14">
        <v>3</v>
      </c>
      <c r="V50" s="14" t="s">
        <v>9</v>
      </c>
      <c r="W50" s="14">
        <v>6</v>
      </c>
      <c r="X50" s="14">
        <v>3</v>
      </c>
      <c r="Y50" s="14">
        <v>4</v>
      </c>
      <c r="Z50" s="3">
        <v>2</v>
      </c>
      <c r="AA50" s="3">
        <v>3</v>
      </c>
      <c r="AB50" s="14">
        <v>3</v>
      </c>
      <c r="AC50" s="14" t="s">
        <v>9</v>
      </c>
      <c r="AD50" s="14" t="s">
        <v>9</v>
      </c>
      <c r="AE50" s="14">
        <v>4</v>
      </c>
      <c r="AF50" s="14">
        <v>2</v>
      </c>
      <c r="AG50" s="14">
        <v>1</v>
      </c>
      <c r="AH50" s="14">
        <v>3</v>
      </c>
      <c r="AI50" s="48">
        <f t="shared" si="13"/>
        <v>73</v>
      </c>
      <c r="AJ50" s="151"/>
    </row>
    <row r="51" spans="1:36" x14ac:dyDescent="0.25">
      <c r="A51" s="126"/>
      <c r="B51" s="125"/>
      <c r="C51" s="50" t="s">
        <v>49</v>
      </c>
      <c r="D51" s="38">
        <v>0</v>
      </c>
      <c r="E51" s="3">
        <v>0</v>
      </c>
      <c r="F51" s="3">
        <v>0</v>
      </c>
      <c r="G51" s="3" t="s">
        <v>9</v>
      </c>
      <c r="H51" s="14" t="s">
        <v>9</v>
      </c>
      <c r="I51" s="14">
        <v>0</v>
      </c>
      <c r="J51" s="14">
        <v>0</v>
      </c>
      <c r="K51" s="14">
        <v>0</v>
      </c>
      <c r="L51" s="3">
        <v>0</v>
      </c>
      <c r="M51" s="3">
        <v>0</v>
      </c>
      <c r="N51" s="14" t="s">
        <v>9</v>
      </c>
      <c r="O51" s="14" t="s">
        <v>9</v>
      </c>
      <c r="P51" s="3">
        <v>0</v>
      </c>
      <c r="Q51" s="22">
        <v>0</v>
      </c>
      <c r="R51" s="14">
        <v>0</v>
      </c>
      <c r="S51" s="14">
        <v>0</v>
      </c>
      <c r="T51" s="14">
        <v>0</v>
      </c>
      <c r="U51" s="14">
        <v>0</v>
      </c>
      <c r="V51" s="14" t="s">
        <v>9</v>
      </c>
      <c r="W51" s="14">
        <v>0</v>
      </c>
      <c r="X51" s="14">
        <v>0</v>
      </c>
      <c r="Y51" s="14">
        <v>0</v>
      </c>
      <c r="Z51" s="3">
        <v>0</v>
      </c>
      <c r="AA51" s="3">
        <v>0</v>
      </c>
      <c r="AB51" s="14">
        <v>0</v>
      </c>
      <c r="AC51" s="14" t="s">
        <v>9</v>
      </c>
      <c r="AD51" s="14" t="s">
        <v>9</v>
      </c>
      <c r="AE51" s="14">
        <v>0</v>
      </c>
      <c r="AF51" s="14">
        <v>0</v>
      </c>
      <c r="AG51" s="14">
        <v>0</v>
      </c>
      <c r="AH51" s="14">
        <v>0</v>
      </c>
      <c r="AI51" s="48">
        <f t="shared" si="13"/>
        <v>0</v>
      </c>
      <c r="AJ51" s="151"/>
    </row>
    <row r="52" spans="1:36" x14ac:dyDescent="0.25">
      <c r="A52" s="126"/>
      <c r="B52" s="126"/>
      <c r="C52" s="50" t="s">
        <v>51</v>
      </c>
      <c r="D52" s="38">
        <v>0</v>
      </c>
      <c r="E52" s="3">
        <v>1</v>
      </c>
      <c r="F52" s="3">
        <v>1</v>
      </c>
      <c r="G52" s="3" t="s">
        <v>9</v>
      </c>
      <c r="H52" s="14" t="s">
        <v>9</v>
      </c>
      <c r="I52" s="14">
        <v>3</v>
      </c>
      <c r="J52" s="14">
        <v>1</v>
      </c>
      <c r="K52" s="14">
        <v>0</v>
      </c>
      <c r="L52" s="3">
        <v>0</v>
      </c>
      <c r="M52" s="3">
        <v>3</v>
      </c>
      <c r="N52" s="14" t="s">
        <v>9</v>
      </c>
      <c r="O52" s="14" t="s">
        <v>9</v>
      </c>
      <c r="P52" s="3">
        <v>1</v>
      </c>
      <c r="Q52" s="22">
        <v>0</v>
      </c>
      <c r="R52" s="14">
        <v>3</v>
      </c>
      <c r="S52" s="14">
        <v>0</v>
      </c>
      <c r="T52" s="14">
        <v>1</v>
      </c>
      <c r="U52" s="14">
        <v>1</v>
      </c>
      <c r="V52" s="14" t="s">
        <v>9</v>
      </c>
      <c r="W52" s="14">
        <v>1</v>
      </c>
      <c r="X52" s="14">
        <v>2</v>
      </c>
      <c r="Y52" s="14">
        <v>8</v>
      </c>
      <c r="Z52" s="3">
        <v>1</v>
      </c>
      <c r="AA52" s="3">
        <v>0</v>
      </c>
      <c r="AB52" s="14">
        <v>0</v>
      </c>
      <c r="AC52" s="14" t="s">
        <v>9</v>
      </c>
      <c r="AD52" s="14" t="s">
        <v>9</v>
      </c>
      <c r="AE52" s="14">
        <v>2</v>
      </c>
      <c r="AF52" s="14">
        <v>0</v>
      </c>
      <c r="AG52" s="14">
        <v>2</v>
      </c>
      <c r="AH52" s="14">
        <v>3</v>
      </c>
      <c r="AI52" s="48">
        <f t="shared" si="13"/>
        <v>34</v>
      </c>
      <c r="AJ52" s="151"/>
    </row>
    <row r="53" spans="1:36" x14ac:dyDescent="0.25">
      <c r="A53" s="130"/>
      <c r="B53" s="127" t="s">
        <v>45</v>
      </c>
      <c r="C53" s="51" t="s">
        <v>46</v>
      </c>
      <c r="D53" s="28">
        <v>12</v>
      </c>
      <c r="E53" s="3">
        <v>4</v>
      </c>
      <c r="F53" s="3">
        <v>2</v>
      </c>
      <c r="G53" s="3" t="s">
        <v>9</v>
      </c>
      <c r="H53" s="3" t="s">
        <v>9</v>
      </c>
      <c r="I53" s="3">
        <v>3</v>
      </c>
      <c r="J53" s="3">
        <v>9</v>
      </c>
      <c r="K53" s="3">
        <v>2</v>
      </c>
      <c r="L53" s="3">
        <v>1</v>
      </c>
      <c r="M53" s="3">
        <v>6</v>
      </c>
      <c r="N53" s="3" t="s">
        <v>9</v>
      </c>
      <c r="O53" s="3" t="s">
        <v>9</v>
      </c>
      <c r="P53" s="3">
        <v>3</v>
      </c>
      <c r="Q53" s="17">
        <v>1</v>
      </c>
      <c r="R53" s="3">
        <v>7</v>
      </c>
      <c r="S53" s="3">
        <v>7</v>
      </c>
      <c r="T53" s="3">
        <v>3</v>
      </c>
      <c r="U53" s="3">
        <v>8</v>
      </c>
      <c r="V53" s="3" t="s">
        <v>9</v>
      </c>
      <c r="W53" s="3">
        <v>5</v>
      </c>
      <c r="X53" s="3">
        <v>8</v>
      </c>
      <c r="Y53" s="3">
        <v>28</v>
      </c>
      <c r="Z53" s="3">
        <v>11</v>
      </c>
      <c r="AA53" s="3">
        <v>3</v>
      </c>
      <c r="AB53" s="3">
        <v>6</v>
      </c>
      <c r="AC53" s="3" t="s">
        <v>9</v>
      </c>
      <c r="AD53" s="3" t="s">
        <v>9</v>
      </c>
      <c r="AE53" s="3">
        <v>10</v>
      </c>
      <c r="AF53" s="3">
        <v>2</v>
      </c>
      <c r="AG53" s="3">
        <v>12</v>
      </c>
      <c r="AH53" s="3">
        <v>2</v>
      </c>
      <c r="AI53" s="48">
        <f t="shared" si="13"/>
        <v>155</v>
      </c>
      <c r="AJ53" s="152"/>
    </row>
    <row r="54" spans="1:36" ht="13.5" thickBot="1" x14ac:dyDescent="0.3">
      <c r="A54" s="131"/>
      <c r="B54" s="128"/>
      <c r="C54" s="52" t="s">
        <v>47</v>
      </c>
      <c r="D54" s="26">
        <v>0</v>
      </c>
      <c r="E54" s="8">
        <v>0</v>
      </c>
      <c r="F54" s="8">
        <v>0</v>
      </c>
      <c r="G54" s="8" t="s">
        <v>9</v>
      </c>
      <c r="H54" s="8" t="s">
        <v>9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 t="s">
        <v>9</v>
      </c>
      <c r="O54" s="8" t="s">
        <v>9</v>
      </c>
      <c r="P54" s="8">
        <v>0</v>
      </c>
      <c r="Q54" s="21">
        <v>0</v>
      </c>
      <c r="R54" s="8">
        <v>0</v>
      </c>
      <c r="S54" s="8">
        <v>0</v>
      </c>
      <c r="T54" s="8">
        <v>0</v>
      </c>
      <c r="U54" s="8">
        <v>0</v>
      </c>
      <c r="V54" s="8" t="s">
        <v>9</v>
      </c>
      <c r="W54" s="3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 t="s">
        <v>9</v>
      </c>
      <c r="AD54" s="8" t="s">
        <v>9</v>
      </c>
      <c r="AE54" s="8">
        <v>0</v>
      </c>
      <c r="AF54" s="8">
        <v>0</v>
      </c>
      <c r="AG54" s="8">
        <v>0</v>
      </c>
      <c r="AH54" s="8">
        <v>0</v>
      </c>
      <c r="AI54" s="58">
        <f t="shared" si="13"/>
        <v>0</v>
      </c>
      <c r="AJ54" s="153"/>
    </row>
    <row r="55" spans="1:36" x14ac:dyDescent="0.25">
      <c r="A55" s="89" t="s">
        <v>36</v>
      </c>
      <c r="B55" s="136" t="s">
        <v>18</v>
      </c>
      <c r="C55" s="49" t="s">
        <v>48</v>
      </c>
      <c r="D55" s="27">
        <v>1</v>
      </c>
      <c r="E55" s="7">
        <v>13</v>
      </c>
      <c r="F55" s="7">
        <v>1</v>
      </c>
      <c r="G55" s="7">
        <v>1</v>
      </c>
      <c r="H55" s="7" t="s">
        <v>9</v>
      </c>
      <c r="I55" s="7">
        <v>2</v>
      </c>
      <c r="J55" s="7">
        <v>27</v>
      </c>
      <c r="K55" s="7">
        <v>5</v>
      </c>
      <c r="L55" s="7">
        <v>2</v>
      </c>
      <c r="M55" s="7">
        <v>0</v>
      </c>
      <c r="N55" s="7">
        <v>5</v>
      </c>
      <c r="O55" s="7" t="s">
        <v>9</v>
      </c>
      <c r="P55" s="7" t="s">
        <v>10</v>
      </c>
      <c r="Q55" s="7" t="s">
        <v>10</v>
      </c>
      <c r="R55" s="7" t="s">
        <v>10</v>
      </c>
      <c r="S55" s="7" t="s">
        <v>10</v>
      </c>
      <c r="T55" s="7" t="s">
        <v>10</v>
      </c>
      <c r="U55" s="7">
        <v>0</v>
      </c>
      <c r="V55" s="7" t="s">
        <v>9</v>
      </c>
      <c r="W55" s="7">
        <v>2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 t="s">
        <v>9</v>
      </c>
      <c r="AD55" s="7">
        <v>0</v>
      </c>
      <c r="AE55" s="7">
        <v>1</v>
      </c>
      <c r="AF55" s="7">
        <v>5</v>
      </c>
      <c r="AG55" s="7">
        <v>1</v>
      </c>
      <c r="AH55" s="7">
        <v>5</v>
      </c>
      <c r="AI55" s="54">
        <f t="shared" ref="AI55:AI60" si="14">SUM(D55:AH55)</f>
        <v>71</v>
      </c>
      <c r="AJ55" s="154">
        <f>SUM(AI55:AI60)</f>
        <v>390</v>
      </c>
    </row>
    <row r="56" spans="1:36" x14ac:dyDescent="0.25">
      <c r="A56" s="121"/>
      <c r="B56" s="137"/>
      <c r="C56" s="50" t="s">
        <v>50</v>
      </c>
      <c r="D56" s="38">
        <v>1</v>
      </c>
      <c r="E56" s="14">
        <v>0</v>
      </c>
      <c r="F56" s="14">
        <v>0</v>
      </c>
      <c r="G56" s="14">
        <v>0</v>
      </c>
      <c r="H56" s="14" t="s">
        <v>9</v>
      </c>
      <c r="I56" s="14">
        <v>0</v>
      </c>
      <c r="J56" s="14">
        <v>0</v>
      </c>
      <c r="K56" s="14">
        <v>0</v>
      </c>
      <c r="L56" s="14">
        <v>0</v>
      </c>
      <c r="M56" s="14">
        <v>1</v>
      </c>
      <c r="N56" s="14">
        <v>0</v>
      </c>
      <c r="O56" s="14" t="s">
        <v>9</v>
      </c>
      <c r="P56" s="14" t="s">
        <v>10</v>
      </c>
      <c r="Q56" s="14" t="s">
        <v>10</v>
      </c>
      <c r="R56" s="14" t="s">
        <v>10</v>
      </c>
      <c r="S56" s="14" t="s">
        <v>10</v>
      </c>
      <c r="T56" s="14" t="s">
        <v>10</v>
      </c>
      <c r="U56" s="14">
        <v>0</v>
      </c>
      <c r="V56" s="14" t="s">
        <v>9</v>
      </c>
      <c r="W56" s="14">
        <v>0</v>
      </c>
      <c r="X56" s="14">
        <v>0</v>
      </c>
      <c r="Y56" s="14">
        <v>1</v>
      </c>
      <c r="Z56" s="14">
        <v>0</v>
      </c>
      <c r="AA56" s="14">
        <v>0</v>
      </c>
      <c r="AB56" s="14">
        <v>0</v>
      </c>
      <c r="AC56" s="14" t="s">
        <v>9</v>
      </c>
      <c r="AD56" s="14">
        <v>0</v>
      </c>
      <c r="AE56" s="14">
        <v>0</v>
      </c>
      <c r="AF56" s="14">
        <v>1</v>
      </c>
      <c r="AG56" s="14">
        <v>0</v>
      </c>
      <c r="AH56" s="14">
        <v>1</v>
      </c>
      <c r="AI56" s="55">
        <f t="shared" si="14"/>
        <v>5</v>
      </c>
      <c r="AJ56" s="151"/>
    </row>
    <row r="57" spans="1:36" x14ac:dyDescent="0.25">
      <c r="A57" s="121"/>
      <c r="B57" s="137"/>
      <c r="C57" s="50" t="s">
        <v>49</v>
      </c>
      <c r="D57" s="38">
        <v>9</v>
      </c>
      <c r="E57" s="14">
        <v>19</v>
      </c>
      <c r="F57" s="14">
        <v>2</v>
      </c>
      <c r="G57" s="14">
        <v>7</v>
      </c>
      <c r="H57" s="14" t="s">
        <v>9</v>
      </c>
      <c r="I57" s="14">
        <v>7</v>
      </c>
      <c r="J57" s="14">
        <v>5</v>
      </c>
      <c r="K57" s="14">
        <v>6</v>
      </c>
      <c r="L57" s="14">
        <v>14</v>
      </c>
      <c r="M57" s="14">
        <v>3</v>
      </c>
      <c r="N57" s="14">
        <v>2</v>
      </c>
      <c r="O57" s="14" t="s">
        <v>9</v>
      </c>
      <c r="P57" s="14" t="s">
        <v>10</v>
      </c>
      <c r="Q57" s="14" t="s">
        <v>10</v>
      </c>
      <c r="R57" s="14" t="s">
        <v>10</v>
      </c>
      <c r="S57" s="14" t="s">
        <v>10</v>
      </c>
      <c r="T57" s="14" t="s">
        <v>10</v>
      </c>
      <c r="U57" s="14">
        <v>1</v>
      </c>
      <c r="V57" s="14" t="s">
        <v>9</v>
      </c>
      <c r="W57" s="14">
        <v>4</v>
      </c>
      <c r="X57" s="14">
        <v>3</v>
      </c>
      <c r="Y57" s="14">
        <v>8</v>
      </c>
      <c r="Z57" s="14">
        <v>4</v>
      </c>
      <c r="AA57" s="14">
        <v>12</v>
      </c>
      <c r="AB57" s="14">
        <v>5</v>
      </c>
      <c r="AC57" s="14" t="s">
        <v>9</v>
      </c>
      <c r="AD57" s="14">
        <v>7</v>
      </c>
      <c r="AE57" s="14">
        <v>7</v>
      </c>
      <c r="AF57" s="14">
        <v>16</v>
      </c>
      <c r="AG57" s="14">
        <v>3</v>
      </c>
      <c r="AH57" s="14">
        <v>8</v>
      </c>
      <c r="AI57" s="55">
        <f t="shared" si="14"/>
        <v>152</v>
      </c>
      <c r="AJ57" s="151"/>
    </row>
    <row r="58" spans="1:36" x14ac:dyDescent="0.25">
      <c r="A58" s="121"/>
      <c r="B58" s="138"/>
      <c r="C58" s="50" t="s">
        <v>51</v>
      </c>
      <c r="D58" s="38">
        <v>1</v>
      </c>
      <c r="E58" s="14">
        <v>1</v>
      </c>
      <c r="F58" s="14">
        <v>4</v>
      </c>
      <c r="G58" s="14">
        <v>0</v>
      </c>
      <c r="H58" s="14" t="s">
        <v>9</v>
      </c>
      <c r="I58" s="14">
        <v>0</v>
      </c>
      <c r="J58" s="14">
        <v>3</v>
      </c>
      <c r="K58" s="14">
        <v>3</v>
      </c>
      <c r="L58" s="14">
        <v>3</v>
      </c>
      <c r="M58" s="14">
        <v>1</v>
      </c>
      <c r="N58" s="14">
        <v>3</v>
      </c>
      <c r="O58" s="14" t="s">
        <v>9</v>
      </c>
      <c r="P58" s="14" t="s">
        <v>10</v>
      </c>
      <c r="Q58" s="14" t="s">
        <v>10</v>
      </c>
      <c r="R58" s="14" t="s">
        <v>10</v>
      </c>
      <c r="S58" s="14" t="s">
        <v>10</v>
      </c>
      <c r="T58" s="14" t="s">
        <v>10</v>
      </c>
      <c r="U58" s="14">
        <v>0</v>
      </c>
      <c r="V58" s="14" t="s">
        <v>9</v>
      </c>
      <c r="W58" s="14">
        <v>0</v>
      </c>
      <c r="X58" s="14">
        <v>2</v>
      </c>
      <c r="Y58" s="14">
        <v>0</v>
      </c>
      <c r="Z58" s="14">
        <v>0</v>
      </c>
      <c r="AA58" s="14">
        <v>4</v>
      </c>
      <c r="AB58" s="14">
        <v>0</v>
      </c>
      <c r="AC58" s="14" t="s">
        <v>9</v>
      </c>
      <c r="AD58" s="14">
        <v>3</v>
      </c>
      <c r="AE58" s="14">
        <v>3</v>
      </c>
      <c r="AF58" s="14">
        <v>4</v>
      </c>
      <c r="AG58" s="14">
        <v>0</v>
      </c>
      <c r="AH58" s="14">
        <v>1</v>
      </c>
      <c r="AI58" s="55">
        <f t="shared" si="14"/>
        <v>36</v>
      </c>
      <c r="AJ58" s="151"/>
    </row>
    <row r="59" spans="1:36" x14ac:dyDescent="0.25">
      <c r="A59" s="90"/>
      <c r="B59" s="139" t="s">
        <v>45</v>
      </c>
      <c r="C59" s="51" t="s">
        <v>46</v>
      </c>
      <c r="D59" s="28">
        <v>4</v>
      </c>
      <c r="E59" s="3">
        <v>11</v>
      </c>
      <c r="F59" s="3">
        <v>7</v>
      </c>
      <c r="G59" s="3">
        <v>3</v>
      </c>
      <c r="H59" s="3" t="s">
        <v>9</v>
      </c>
      <c r="I59" s="3">
        <v>3</v>
      </c>
      <c r="J59" s="3">
        <v>33</v>
      </c>
      <c r="K59" s="3">
        <v>3</v>
      </c>
      <c r="L59" s="3">
        <v>5</v>
      </c>
      <c r="M59" s="3">
        <v>3</v>
      </c>
      <c r="N59" s="3">
        <v>8</v>
      </c>
      <c r="O59" s="3" t="s">
        <v>9</v>
      </c>
      <c r="P59" s="3" t="s">
        <v>10</v>
      </c>
      <c r="Q59" s="3" t="s">
        <v>10</v>
      </c>
      <c r="R59" s="3" t="s">
        <v>10</v>
      </c>
      <c r="S59" s="3" t="s">
        <v>10</v>
      </c>
      <c r="T59" s="3" t="s">
        <v>10</v>
      </c>
      <c r="U59" s="3">
        <v>3</v>
      </c>
      <c r="V59" s="3" t="s">
        <v>9</v>
      </c>
      <c r="W59" s="3">
        <v>1</v>
      </c>
      <c r="X59" s="3">
        <v>4</v>
      </c>
      <c r="Y59" s="3">
        <v>1</v>
      </c>
      <c r="Z59" s="3">
        <v>0</v>
      </c>
      <c r="AA59" s="3">
        <v>0</v>
      </c>
      <c r="AB59" s="3">
        <v>1</v>
      </c>
      <c r="AC59" s="3" t="s">
        <v>9</v>
      </c>
      <c r="AD59" s="3">
        <v>7</v>
      </c>
      <c r="AE59" s="3">
        <v>6</v>
      </c>
      <c r="AF59" s="3">
        <v>12</v>
      </c>
      <c r="AG59" s="3">
        <v>2</v>
      </c>
      <c r="AH59" s="3">
        <v>2</v>
      </c>
      <c r="AI59" s="55">
        <f t="shared" si="14"/>
        <v>119</v>
      </c>
      <c r="AJ59" s="152"/>
    </row>
    <row r="60" spans="1:36" ht="14.25" customHeight="1" thickBot="1" x14ac:dyDescent="0.3">
      <c r="A60" s="156"/>
      <c r="B60" s="137"/>
      <c r="C60" s="53" t="s">
        <v>47</v>
      </c>
      <c r="D60" s="42">
        <v>0</v>
      </c>
      <c r="E60" s="13">
        <v>0</v>
      </c>
      <c r="F60" s="13">
        <v>0</v>
      </c>
      <c r="G60" s="13">
        <v>0</v>
      </c>
      <c r="H60" s="13" t="s">
        <v>9</v>
      </c>
      <c r="I60" s="13">
        <v>1</v>
      </c>
      <c r="J60" s="13">
        <v>0</v>
      </c>
      <c r="K60" s="13">
        <v>0</v>
      </c>
      <c r="L60" s="13">
        <v>1</v>
      </c>
      <c r="M60" s="13">
        <v>0</v>
      </c>
      <c r="N60" s="13">
        <v>1</v>
      </c>
      <c r="O60" s="8" t="s">
        <v>9</v>
      </c>
      <c r="P60" s="13" t="s">
        <v>10</v>
      </c>
      <c r="Q60" s="13" t="s">
        <v>10</v>
      </c>
      <c r="R60" s="13" t="s">
        <v>10</v>
      </c>
      <c r="S60" s="13" t="s">
        <v>10</v>
      </c>
      <c r="T60" s="13" t="s">
        <v>10</v>
      </c>
      <c r="U60" s="8">
        <v>0</v>
      </c>
      <c r="V60" s="8" t="s">
        <v>9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8">
        <v>1</v>
      </c>
      <c r="AC60" s="8" t="s">
        <v>9</v>
      </c>
      <c r="AD60" s="13">
        <v>2</v>
      </c>
      <c r="AE60" s="13">
        <v>0</v>
      </c>
      <c r="AF60" s="13">
        <v>1</v>
      </c>
      <c r="AG60" s="13">
        <v>0</v>
      </c>
      <c r="AH60" s="13">
        <v>0</v>
      </c>
      <c r="AI60" s="59">
        <f t="shared" si="14"/>
        <v>7</v>
      </c>
      <c r="AJ60" s="153"/>
    </row>
    <row r="61" spans="1:36" x14ac:dyDescent="0.25">
      <c r="A61" s="106" t="s">
        <v>73</v>
      </c>
      <c r="B61" s="124" t="s">
        <v>18</v>
      </c>
      <c r="C61" s="49" t="s">
        <v>48</v>
      </c>
      <c r="D61" s="27">
        <v>12</v>
      </c>
      <c r="E61" s="7">
        <v>3</v>
      </c>
      <c r="F61" s="7">
        <v>16</v>
      </c>
      <c r="G61" s="7">
        <v>1</v>
      </c>
      <c r="H61" s="7" t="s">
        <v>9</v>
      </c>
      <c r="I61" s="7">
        <v>9</v>
      </c>
      <c r="J61" s="7">
        <v>10</v>
      </c>
      <c r="K61" s="7">
        <v>12</v>
      </c>
      <c r="L61" s="7">
        <v>2</v>
      </c>
      <c r="M61" s="7">
        <v>3</v>
      </c>
      <c r="N61" s="7">
        <v>1</v>
      </c>
      <c r="O61" s="7" t="s">
        <v>9</v>
      </c>
      <c r="P61" s="7">
        <v>3</v>
      </c>
      <c r="Q61" s="20">
        <v>0</v>
      </c>
      <c r="R61" s="7">
        <v>0</v>
      </c>
      <c r="S61" s="7">
        <v>0</v>
      </c>
      <c r="T61" s="7">
        <v>0</v>
      </c>
      <c r="U61" s="7" t="s">
        <v>9</v>
      </c>
      <c r="V61" s="7" t="s">
        <v>9</v>
      </c>
      <c r="W61" s="7">
        <v>8</v>
      </c>
      <c r="X61" s="7">
        <v>2</v>
      </c>
      <c r="Y61" s="7">
        <v>6</v>
      </c>
      <c r="Z61" s="7">
        <v>14</v>
      </c>
      <c r="AA61" s="7">
        <v>6</v>
      </c>
      <c r="AB61" s="7">
        <v>2</v>
      </c>
      <c r="AC61" s="7" t="s">
        <v>9</v>
      </c>
      <c r="AD61" s="7">
        <v>7</v>
      </c>
      <c r="AE61" s="7">
        <v>34</v>
      </c>
      <c r="AF61" s="7">
        <v>9</v>
      </c>
      <c r="AG61" s="7">
        <v>11</v>
      </c>
      <c r="AH61" s="7">
        <v>12</v>
      </c>
      <c r="AI61" s="54">
        <f t="shared" ref="AI61:AI66" si="15">SUM(D61:AH61)</f>
        <v>183</v>
      </c>
      <c r="AJ61" s="154">
        <f t="shared" ref="AJ61" si="16">SUM(AI61:AI66)</f>
        <v>239</v>
      </c>
    </row>
    <row r="62" spans="1:36" x14ac:dyDescent="0.25">
      <c r="A62" s="72"/>
      <c r="B62" s="125"/>
      <c r="C62" s="50" t="s">
        <v>50</v>
      </c>
      <c r="D62" s="38">
        <v>0</v>
      </c>
      <c r="E62" s="14">
        <v>0</v>
      </c>
      <c r="F62" s="14">
        <v>0</v>
      </c>
      <c r="G62" s="14">
        <v>0</v>
      </c>
      <c r="H62" s="14" t="s">
        <v>9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 t="s">
        <v>9</v>
      </c>
      <c r="P62" s="14">
        <v>0</v>
      </c>
      <c r="Q62" s="22">
        <v>0</v>
      </c>
      <c r="R62" s="14">
        <v>1</v>
      </c>
      <c r="S62" s="14">
        <v>0</v>
      </c>
      <c r="T62" s="14">
        <v>0</v>
      </c>
      <c r="U62" s="14" t="s">
        <v>9</v>
      </c>
      <c r="V62" s="14" t="s">
        <v>9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 t="s">
        <v>9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55">
        <f t="shared" si="15"/>
        <v>1</v>
      </c>
      <c r="AJ62" s="151"/>
    </row>
    <row r="63" spans="1:36" x14ac:dyDescent="0.25">
      <c r="A63" s="72"/>
      <c r="B63" s="125"/>
      <c r="C63" s="50" t="s">
        <v>49</v>
      </c>
      <c r="D63" s="38">
        <v>0</v>
      </c>
      <c r="E63" s="14">
        <v>0</v>
      </c>
      <c r="F63" s="14">
        <v>0</v>
      </c>
      <c r="G63" s="14">
        <v>0</v>
      </c>
      <c r="H63" s="14" t="s">
        <v>9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 t="s">
        <v>9</v>
      </c>
      <c r="P63" s="14">
        <v>0</v>
      </c>
      <c r="Q63" s="22">
        <v>0</v>
      </c>
      <c r="R63" s="14">
        <v>0</v>
      </c>
      <c r="S63" s="14">
        <v>0</v>
      </c>
      <c r="T63" s="14">
        <v>0</v>
      </c>
      <c r="U63" s="14" t="s">
        <v>9</v>
      </c>
      <c r="V63" s="14" t="s">
        <v>9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 t="s">
        <v>9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55">
        <f t="shared" si="15"/>
        <v>0</v>
      </c>
      <c r="AJ63" s="151"/>
    </row>
    <row r="64" spans="1:36" x14ac:dyDescent="0.25">
      <c r="A64" s="72"/>
      <c r="B64" s="126"/>
      <c r="C64" s="50" t="s">
        <v>51</v>
      </c>
      <c r="D64" s="38">
        <v>0</v>
      </c>
      <c r="E64" s="14">
        <v>0</v>
      </c>
      <c r="F64" s="14">
        <v>0</v>
      </c>
      <c r="G64" s="14">
        <v>0</v>
      </c>
      <c r="H64" s="14" t="s">
        <v>9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 t="s">
        <v>9</v>
      </c>
      <c r="P64" s="14">
        <v>1</v>
      </c>
      <c r="Q64" s="22">
        <v>0</v>
      </c>
      <c r="R64" s="14">
        <v>0</v>
      </c>
      <c r="S64" s="14">
        <v>0</v>
      </c>
      <c r="T64" s="14">
        <v>0</v>
      </c>
      <c r="U64" s="14" t="s">
        <v>9</v>
      </c>
      <c r="V64" s="14" t="s">
        <v>9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 t="s">
        <v>9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55">
        <f t="shared" si="15"/>
        <v>1</v>
      </c>
      <c r="AJ64" s="151"/>
    </row>
    <row r="65" spans="1:36" x14ac:dyDescent="0.25">
      <c r="A65" s="72"/>
      <c r="B65" s="127" t="s">
        <v>45</v>
      </c>
      <c r="C65" s="51" t="s">
        <v>46</v>
      </c>
      <c r="D65" s="28">
        <v>5</v>
      </c>
      <c r="E65" s="3">
        <v>0</v>
      </c>
      <c r="F65" s="3">
        <v>2</v>
      </c>
      <c r="G65" s="3">
        <v>2</v>
      </c>
      <c r="H65" s="3" t="s">
        <v>9</v>
      </c>
      <c r="I65" s="3">
        <v>3</v>
      </c>
      <c r="J65" s="3">
        <v>6</v>
      </c>
      <c r="K65" s="3">
        <v>5</v>
      </c>
      <c r="L65" s="3">
        <v>0</v>
      </c>
      <c r="M65" s="3">
        <v>3</v>
      </c>
      <c r="N65" s="3">
        <v>1</v>
      </c>
      <c r="O65" s="3" t="s">
        <v>9</v>
      </c>
      <c r="P65" s="3">
        <v>1</v>
      </c>
      <c r="Q65" s="17">
        <v>0</v>
      </c>
      <c r="R65" s="3">
        <v>0</v>
      </c>
      <c r="S65" s="3">
        <v>0</v>
      </c>
      <c r="T65" s="3">
        <v>1</v>
      </c>
      <c r="U65" s="3" t="s">
        <v>9</v>
      </c>
      <c r="V65" s="3" t="s">
        <v>9</v>
      </c>
      <c r="W65" s="3">
        <v>2</v>
      </c>
      <c r="X65" s="3">
        <v>0</v>
      </c>
      <c r="Y65" s="3">
        <v>1</v>
      </c>
      <c r="Z65" s="3">
        <v>1</v>
      </c>
      <c r="AA65" s="3">
        <v>0</v>
      </c>
      <c r="AB65" s="3">
        <v>0</v>
      </c>
      <c r="AC65" s="3" t="s">
        <v>9</v>
      </c>
      <c r="AD65" s="3">
        <v>1</v>
      </c>
      <c r="AE65" s="3">
        <v>4</v>
      </c>
      <c r="AF65" s="3">
        <v>2</v>
      </c>
      <c r="AG65" s="3">
        <v>5</v>
      </c>
      <c r="AH65" s="3">
        <v>9</v>
      </c>
      <c r="AI65" s="55">
        <f t="shared" si="15"/>
        <v>54</v>
      </c>
      <c r="AJ65" s="152"/>
    </row>
    <row r="66" spans="1:36" ht="13.5" thickBot="1" x14ac:dyDescent="0.3">
      <c r="A66" s="157"/>
      <c r="B66" s="125"/>
      <c r="C66" s="53" t="s">
        <v>47</v>
      </c>
      <c r="D66" s="42">
        <v>0</v>
      </c>
      <c r="E66" s="13">
        <v>0</v>
      </c>
      <c r="F66" s="13">
        <v>0</v>
      </c>
      <c r="G66" s="13">
        <v>0</v>
      </c>
      <c r="H66" s="13" t="s">
        <v>9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8" t="s">
        <v>9</v>
      </c>
      <c r="P66" s="13">
        <v>0</v>
      </c>
      <c r="Q66" s="18">
        <v>0</v>
      </c>
      <c r="R66" s="13">
        <v>0</v>
      </c>
      <c r="S66" s="13">
        <v>0</v>
      </c>
      <c r="T66" s="13">
        <v>0</v>
      </c>
      <c r="U66" s="8" t="s">
        <v>9</v>
      </c>
      <c r="V66" s="8" t="s">
        <v>9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8">
        <v>0</v>
      </c>
      <c r="AC66" s="8" t="s">
        <v>9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59">
        <f t="shared" si="15"/>
        <v>0</v>
      </c>
      <c r="AJ66" s="155"/>
    </row>
    <row r="67" spans="1:36" x14ac:dyDescent="0.25">
      <c r="A67" s="106" t="s">
        <v>76</v>
      </c>
      <c r="B67" s="124" t="s">
        <v>18</v>
      </c>
      <c r="C67" s="49" t="s">
        <v>48</v>
      </c>
      <c r="D67" s="60" t="s">
        <v>29</v>
      </c>
      <c r="E67" s="7" t="s">
        <v>29</v>
      </c>
      <c r="F67" s="7" t="s">
        <v>29</v>
      </c>
      <c r="G67" s="7" t="s">
        <v>29</v>
      </c>
      <c r="H67" s="7" t="s">
        <v>29</v>
      </c>
      <c r="I67" s="7">
        <v>0</v>
      </c>
      <c r="J67" s="7">
        <v>1</v>
      </c>
      <c r="K67" s="7">
        <v>2</v>
      </c>
      <c r="L67" s="7">
        <v>0</v>
      </c>
      <c r="M67" s="7">
        <v>7</v>
      </c>
      <c r="N67" s="7" t="s">
        <v>9</v>
      </c>
      <c r="O67" s="7" t="s">
        <v>9</v>
      </c>
      <c r="P67" s="7">
        <v>2</v>
      </c>
      <c r="Q67" s="20">
        <v>4</v>
      </c>
      <c r="R67" s="7">
        <v>1</v>
      </c>
      <c r="S67" s="7">
        <v>1</v>
      </c>
      <c r="T67" s="7">
        <v>14</v>
      </c>
      <c r="U67" s="7">
        <v>5</v>
      </c>
      <c r="V67" s="7" t="s">
        <v>9</v>
      </c>
      <c r="W67" s="7">
        <v>1</v>
      </c>
      <c r="X67" s="7">
        <v>3</v>
      </c>
      <c r="Y67" s="7">
        <v>10</v>
      </c>
      <c r="Z67" s="7">
        <v>2</v>
      </c>
      <c r="AA67" s="7">
        <v>1</v>
      </c>
      <c r="AB67" s="7" t="s">
        <v>9</v>
      </c>
      <c r="AC67" s="7" t="s">
        <v>9</v>
      </c>
      <c r="AD67" s="7">
        <v>2</v>
      </c>
      <c r="AE67" s="7" t="s">
        <v>30</v>
      </c>
      <c r="AF67" s="7" t="s">
        <v>30</v>
      </c>
      <c r="AG67" s="7">
        <v>1</v>
      </c>
      <c r="AH67" s="7">
        <v>3</v>
      </c>
      <c r="AI67" s="23">
        <f t="shared" ref="AI67:AI72" si="17">SUM(D67:AH67)</f>
        <v>60</v>
      </c>
      <c r="AJ67" s="154">
        <f t="shared" ref="AJ67" si="18">SUM(AI67:AI72)</f>
        <v>205</v>
      </c>
    </row>
    <row r="68" spans="1:36" x14ac:dyDescent="0.25">
      <c r="A68" s="72"/>
      <c r="B68" s="125"/>
      <c r="C68" s="50" t="s">
        <v>50</v>
      </c>
      <c r="D68" s="61" t="s">
        <v>29</v>
      </c>
      <c r="E68" s="3" t="s">
        <v>29</v>
      </c>
      <c r="F68" s="3" t="s">
        <v>29</v>
      </c>
      <c r="G68" s="3" t="s">
        <v>29</v>
      </c>
      <c r="H68" s="3" t="s">
        <v>29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14" t="s">
        <v>9</v>
      </c>
      <c r="O68" s="14" t="s">
        <v>9</v>
      </c>
      <c r="P68" s="3">
        <v>0</v>
      </c>
      <c r="Q68" s="17">
        <v>0</v>
      </c>
      <c r="R68" s="3">
        <v>0</v>
      </c>
      <c r="S68" s="3">
        <v>0</v>
      </c>
      <c r="T68" s="3">
        <v>0</v>
      </c>
      <c r="U68" s="14">
        <v>0</v>
      </c>
      <c r="V68" s="14" t="s">
        <v>9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14" t="s">
        <v>9</v>
      </c>
      <c r="AC68" s="14" t="s">
        <v>9</v>
      </c>
      <c r="AD68" s="3">
        <v>0</v>
      </c>
      <c r="AE68" s="3" t="s">
        <v>30</v>
      </c>
      <c r="AF68" s="3" t="s">
        <v>30</v>
      </c>
      <c r="AG68" s="3">
        <v>0</v>
      </c>
      <c r="AH68" s="3">
        <v>0</v>
      </c>
      <c r="AI68" s="24">
        <f t="shared" si="17"/>
        <v>0</v>
      </c>
      <c r="AJ68" s="151"/>
    </row>
    <row r="69" spans="1:36" ht="13.5" customHeight="1" x14ac:dyDescent="0.25">
      <c r="A69" s="72"/>
      <c r="B69" s="125"/>
      <c r="C69" s="50" t="s">
        <v>49</v>
      </c>
      <c r="D69" s="61" t="s">
        <v>29</v>
      </c>
      <c r="E69" s="3" t="s">
        <v>29</v>
      </c>
      <c r="F69" s="3" t="s">
        <v>29</v>
      </c>
      <c r="G69" s="3" t="s">
        <v>29</v>
      </c>
      <c r="H69" s="3" t="s">
        <v>29</v>
      </c>
      <c r="I69" s="3">
        <v>2</v>
      </c>
      <c r="J69" s="3">
        <v>1</v>
      </c>
      <c r="K69" s="3">
        <v>11</v>
      </c>
      <c r="L69" s="3">
        <v>2</v>
      </c>
      <c r="M69" s="3">
        <v>2</v>
      </c>
      <c r="N69" s="14" t="s">
        <v>9</v>
      </c>
      <c r="O69" s="14" t="s">
        <v>9</v>
      </c>
      <c r="P69" s="3">
        <v>2</v>
      </c>
      <c r="Q69" s="17">
        <v>1</v>
      </c>
      <c r="R69" s="3">
        <v>1</v>
      </c>
      <c r="S69" s="3">
        <v>1</v>
      </c>
      <c r="T69" s="3">
        <v>13</v>
      </c>
      <c r="U69" s="14">
        <v>3</v>
      </c>
      <c r="V69" s="14" t="s">
        <v>9</v>
      </c>
      <c r="W69" s="3">
        <v>3</v>
      </c>
      <c r="X69" s="3">
        <v>7</v>
      </c>
      <c r="Y69" s="3">
        <v>2</v>
      </c>
      <c r="Z69" s="3">
        <v>5</v>
      </c>
      <c r="AA69" s="3">
        <v>8</v>
      </c>
      <c r="AB69" s="14" t="s">
        <v>9</v>
      </c>
      <c r="AC69" s="14" t="s">
        <v>9</v>
      </c>
      <c r="AD69" s="3">
        <v>4</v>
      </c>
      <c r="AE69" s="3" t="s">
        <v>30</v>
      </c>
      <c r="AF69" s="3" t="s">
        <v>30</v>
      </c>
      <c r="AG69" s="3">
        <v>0</v>
      </c>
      <c r="AH69" s="3">
        <v>0</v>
      </c>
      <c r="AI69" s="24">
        <f t="shared" si="17"/>
        <v>68</v>
      </c>
      <c r="AJ69" s="151"/>
    </row>
    <row r="70" spans="1:36" x14ac:dyDescent="0.25">
      <c r="A70" s="72"/>
      <c r="B70" s="126"/>
      <c r="C70" s="50" t="s">
        <v>51</v>
      </c>
      <c r="D70" s="61" t="s">
        <v>29</v>
      </c>
      <c r="E70" s="3" t="s">
        <v>29</v>
      </c>
      <c r="F70" s="3" t="s">
        <v>29</v>
      </c>
      <c r="G70" s="3" t="s">
        <v>29</v>
      </c>
      <c r="H70" s="3" t="s">
        <v>29</v>
      </c>
      <c r="I70" s="3">
        <v>0</v>
      </c>
      <c r="J70" s="3">
        <v>2</v>
      </c>
      <c r="K70" s="3">
        <v>0</v>
      </c>
      <c r="L70" s="3">
        <v>0</v>
      </c>
      <c r="M70" s="3">
        <v>3</v>
      </c>
      <c r="N70" s="14" t="s">
        <v>9</v>
      </c>
      <c r="O70" s="14" t="s">
        <v>9</v>
      </c>
      <c r="P70" s="3">
        <v>0</v>
      </c>
      <c r="Q70" s="17">
        <v>1</v>
      </c>
      <c r="R70" s="3">
        <v>1</v>
      </c>
      <c r="S70" s="3">
        <v>4</v>
      </c>
      <c r="T70" s="3">
        <v>1</v>
      </c>
      <c r="U70" s="14">
        <v>0</v>
      </c>
      <c r="V70" s="14" t="s">
        <v>9</v>
      </c>
      <c r="W70" s="3">
        <v>0</v>
      </c>
      <c r="X70" s="3">
        <v>2</v>
      </c>
      <c r="Y70" s="3">
        <v>1</v>
      </c>
      <c r="Z70" s="3">
        <v>0</v>
      </c>
      <c r="AA70" s="3">
        <v>2</v>
      </c>
      <c r="AB70" s="14" t="s">
        <v>9</v>
      </c>
      <c r="AC70" s="14" t="s">
        <v>9</v>
      </c>
      <c r="AD70" s="3">
        <v>1</v>
      </c>
      <c r="AE70" s="3" t="s">
        <v>30</v>
      </c>
      <c r="AF70" s="3" t="s">
        <v>30</v>
      </c>
      <c r="AG70" s="3">
        <v>0</v>
      </c>
      <c r="AH70" s="3">
        <v>0</v>
      </c>
      <c r="AI70" s="24">
        <f t="shared" si="17"/>
        <v>18</v>
      </c>
      <c r="AJ70" s="151"/>
    </row>
    <row r="71" spans="1:36" x14ac:dyDescent="0.25">
      <c r="A71" s="72"/>
      <c r="B71" s="127" t="s">
        <v>45</v>
      </c>
      <c r="C71" s="51" t="s">
        <v>46</v>
      </c>
      <c r="D71" s="61" t="s">
        <v>29</v>
      </c>
      <c r="E71" s="3" t="s">
        <v>29</v>
      </c>
      <c r="F71" s="3" t="s">
        <v>29</v>
      </c>
      <c r="G71" s="3" t="s">
        <v>29</v>
      </c>
      <c r="H71" s="3" t="s">
        <v>29</v>
      </c>
      <c r="I71" s="3">
        <v>0</v>
      </c>
      <c r="J71" s="3">
        <v>1</v>
      </c>
      <c r="K71" s="3">
        <v>1</v>
      </c>
      <c r="L71" s="3">
        <v>2</v>
      </c>
      <c r="M71" s="3">
        <v>5</v>
      </c>
      <c r="N71" s="3" t="s">
        <v>9</v>
      </c>
      <c r="O71" s="3" t="s">
        <v>9</v>
      </c>
      <c r="P71" s="3">
        <v>1</v>
      </c>
      <c r="Q71" s="17">
        <v>2</v>
      </c>
      <c r="R71" s="3">
        <v>2</v>
      </c>
      <c r="S71" s="3">
        <v>15</v>
      </c>
      <c r="T71" s="3">
        <v>3</v>
      </c>
      <c r="U71" s="3">
        <v>1</v>
      </c>
      <c r="V71" s="3" t="s">
        <v>9</v>
      </c>
      <c r="W71" s="3">
        <v>1</v>
      </c>
      <c r="X71" s="3">
        <v>8</v>
      </c>
      <c r="Y71" s="3">
        <v>8</v>
      </c>
      <c r="Z71" s="3">
        <v>2</v>
      </c>
      <c r="AA71" s="3">
        <v>2</v>
      </c>
      <c r="AB71" s="3" t="s">
        <v>9</v>
      </c>
      <c r="AC71" s="3" t="s">
        <v>9</v>
      </c>
      <c r="AD71" s="3">
        <v>2</v>
      </c>
      <c r="AE71" s="3" t="s">
        <v>30</v>
      </c>
      <c r="AF71" s="3" t="s">
        <v>30</v>
      </c>
      <c r="AG71" s="3">
        <v>0</v>
      </c>
      <c r="AH71" s="3">
        <v>3</v>
      </c>
      <c r="AI71" s="24">
        <f t="shared" si="17"/>
        <v>59</v>
      </c>
      <c r="AJ71" s="152"/>
    </row>
    <row r="72" spans="1:36" ht="13.5" thickBot="1" x14ac:dyDescent="0.3">
      <c r="A72" s="107"/>
      <c r="B72" s="128"/>
      <c r="C72" s="52" t="s">
        <v>47</v>
      </c>
      <c r="D72" s="62" t="s">
        <v>29</v>
      </c>
      <c r="E72" s="8" t="s">
        <v>29</v>
      </c>
      <c r="F72" s="8" t="s">
        <v>29</v>
      </c>
      <c r="G72" s="8" t="s">
        <v>29</v>
      </c>
      <c r="H72" s="8" t="s">
        <v>29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 t="s">
        <v>9</v>
      </c>
      <c r="O72" s="8" t="s">
        <v>9</v>
      </c>
      <c r="P72" s="8">
        <v>0</v>
      </c>
      <c r="Q72" s="21">
        <v>0</v>
      </c>
      <c r="R72" s="8">
        <v>0</v>
      </c>
      <c r="S72" s="8">
        <v>0</v>
      </c>
      <c r="T72" s="8">
        <v>0</v>
      </c>
      <c r="U72" s="8">
        <v>0</v>
      </c>
      <c r="V72" s="8" t="s">
        <v>9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 t="s">
        <v>9</v>
      </c>
      <c r="AC72" s="8" t="s">
        <v>9</v>
      </c>
      <c r="AD72" s="8">
        <v>0</v>
      </c>
      <c r="AE72" s="8" t="s">
        <v>30</v>
      </c>
      <c r="AF72" s="8" t="s">
        <v>30</v>
      </c>
      <c r="AG72" s="8">
        <v>0</v>
      </c>
      <c r="AH72" s="8">
        <v>0</v>
      </c>
      <c r="AI72" s="25">
        <f t="shared" si="17"/>
        <v>0</v>
      </c>
      <c r="AJ72" s="153"/>
    </row>
    <row r="73" spans="1:36" x14ac:dyDescent="0.25">
      <c r="A73" s="89" t="s">
        <v>72</v>
      </c>
      <c r="B73" s="124" t="s">
        <v>18</v>
      </c>
      <c r="C73" s="49" t="s">
        <v>48</v>
      </c>
      <c r="D73" s="27">
        <v>7</v>
      </c>
      <c r="E73" s="7">
        <v>5</v>
      </c>
      <c r="F73" s="7">
        <v>11</v>
      </c>
      <c r="G73" s="7">
        <v>3</v>
      </c>
      <c r="H73" s="7" t="s">
        <v>9</v>
      </c>
      <c r="I73" s="7">
        <v>7</v>
      </c>
      <c r="J73" s="7">
        <v>8</v>
      </c>
      <c r="K73" s="7">
        <v>12</v>
      </c>
      <c r="L73" s="7">
        <v>0</v>
      </c>
      <c r="M73" s="7">
        <v>4</v>
      </c>
      <c r="N73" s="7">
        <v>2</v>
      </c>
      <c r="O73" s="7" t="s">
        <v>9</v>
      </c>
      <c r="P73" s="7">
        <v>4</v>
      </c>
      <c r="Q73" s="7">
        <v>0</v>
      </c>
      <c r="R73" s="7">
        <v>0</v>
      </c>
      <c r="S73" s="7">
        <v>0</v>
      </c>
      <c r="T73" s="7">
        <v>0</v>
      </c>
      <c r="U73" s="7" t="s">
        <v>9</v>
      </c>
      <c r="V73" s="7" t="s">
        <v>9</v>
      </c>
      <c r="W73" s="7">
        <v>2</v>
      </c>
      <c r="X73" s="7">
        <v>0</v>
      </c>
      <c r="Y73" s="7">
        <v>10</v>
      </c>
      <c r="Z73" s="7">
        <v>8</v>
      </c>
      <c r="AA73" s="7">
        <v>14</v>
      </c>
      <c r="AB73" s="7">
        <v>5</v>
      </c>
      <c r="AC73" s="7" t="s">
        <v>9</v>
      </c>
      <c r="AD73" s="7">
        <v>4</v>
      </c>
      <c r="AE73" s="7">
        <v>33</v>
      </c>
      <c r="AF73" s="7">
        <v>5</v>
      </c>
      <c r="AG73" s="7">
        <v>21</v>
      </c>
      <c r="AH73" s="7" t="s">
        <v>37</v>
      </c>
      <c r="AI73" s="54">
        <f t="shared" ref="AI73:AI78" si="19">SUM(D73:AH73)</f>
        <v>165</v>
      </c>
      <c r="AJ73" s="154">
        <f t="shared" ref="AJ73" si="20">SUM(AI73:AI78)</f>
        <v>199</v>
      </c>
    </row>
    <row r="74" spans="1:36" x14ac:dyDescent="0.25">
      <c r="A74" s="121"/>
      <c r="B74" s="125"/>
      <c r="C74" s="50" t="s">
        <v>50</v>
      </c>
      <c r="D74" s="38">
        <v>0</v>
      </c>
      <c r="E74" s="14">
        <v>0</v>
      </c>
      <c r="F74" s="14">
        <v>0</v>
      </c>
      <c r="G74" s="14">
        <v>1</v>
      </c>
      <c r="H74" s="14" t="s">
        <v>9</v>
      </c>
      <c r="I74" s="14">
        <v>0</v>
      </c>
      <c r="J74" s="14">
        <v>0</v>
      </c>
      <c r="K74" s="14">
        <v>0</v>
      </c>
      <c r="L74" s="14">
        <v>0</v>
      </c>
      <c r="M74" s="14">
        <v>1</v>
      </c>
      <c r="N74" s="14">
        <v>0</v>
      </c>
      <c r="O74" s="14" t="s">
        <v>9</v>
      </c>
      <c r="P74" s="14">
        <v>0</v>
      </c>
      <c r="Q74" s="14">
        <v>1</v>
      </c>
      <c r="R74" s="14">
        <v>0</v>
      </c>
      <c r="S74" s="14">
        <v>0</v>
      </c>
      <c r="T74" s="14">
        <v>0</v>
      </c>
      <c r="U74" s="14" t="s">
        <v>9</v>
      </c>
      <c r="V74" s="14" t="s">
        <v>9</v>
      </c>
      <c r="W74" s="14">
        <v>2</v>
      </c>
      <c r="X74" s="14">
        <v>0</v>
      </c>
      <c r="Y74" s="14">
        <v>1</v>
      </c>
      <c r="Z74" s="14">
        <v>1</v>
      </c>
      <c r="AA74" s="14">
        <v>1</v>
      </c>
      <c r="AB74" s="14">
        <v>0</v>
      </c>
      <c r="AC74" s="14" t="s">
        <v>9</v>
      </c>
      <c r="AD74" s="14">
        <v>0</v>
      </c>
      <c r="AE74" s="14">
        <v>0</v>
      </c>
      <c r="AF74" s="14">
        <v>0</v>
      </c>
      <c r="AG74" s="14">
        <v>0</v>
      </c>
      <c r="AH74" s="14" t="s">
        <v>37</v>
      </c>
      <c r="AI74" s="55">
        <f t="shared" si="19"/>
        <v>8</v>
      </c>
      <c r="AJ74" s="151"/>
    </row>
    <row r="75" spans="1:36" x14ac:dyDescent="0.25">
      <c r="A75" s="121"/>
      <c r="B75" s="125"/>
      <c r="C75" s="50" t="s">
        <v>49</v>
      </c>
      <c r="D75" s="38">
        <v>0</v>
      </c>
      <c r="E75" s="14">
        <v>0</v>
      </c>
      <c r="F75" s="14">
        <v>0</v>
      </c>
      <c r="G75" s="14">
        <v>0</v>
      </c>
      <c r="H75" s="14" t="s">
        <v>9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 t="s">
        <v>9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 t="s">
        <v>9</v>
      </c>
      <c r="V75" s="14" t="s">
        <v>9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 t="s">
        <v>9</v>
      </c>
      <c r="AD75" s="14">
        <v>0</v>
      </c>
      <c r="AE75" s="14">
        <v>0</v>
      </c>
      <c r="AF75" s="14">
        <v>0</v>
      </c>
      <c r="AG75" s="14">
        <v>0</v>
      </c>
      <c r="AH75" s="14" t="s">
        <v>37</v>
      </c>
      <c r="AI75" s="55">
        <f t="shared" si="19"/>
        <v>0</v>
      </c>
      <c r="AJ75" s="151"/>
    </row>
    <row r="76" spans="1:36" x14ac:dyDescent="0.25">
      <c r="A76" s="121"/>
      <c r="B76" s="126"/>
      <c r="C76" s="50" t="s">
        <v>51</v>
      </c>
      <c r="D76" s="38">
        <v>0</v>
      </c>
      <c r="E76" s="14">
        <v>0</v>
      </c>
      <c r="F76" s="14">
        <v>0</v>
      </c>
      <c r="G76" s="14">
        <v>0</v>
      </c>
      <c r="H76" s="14" t="s">
        <v>9</v>
      </c>
      <c r="I76" s="14">
        <v>0</v>
      </c>
      <c r="J76" s="14">
        <v>1</v>
      </c>
      <c r="K76" s="14">
        <v>0</v>
      </c>
      <c r="L76" s="14">
        <v>0</v>
      </c>
      <c r="M76" s="14">
        <v>0</v>
      </c>
      <c r="N76" s="14">
        <v>1</v>
      </c>
      <c r="O76" s="14" t="s">
        <v>9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 t="s">
        <v>9</v>
      </c>
      <c r="V76" s="14" t="s">
        <v>9</v>
      </c>
      <c r="W76" s="14">
        <v>0</v>
      </c>
      <c r="X76" s="14">
        <v>1</v>
      </c>
      <c r="Y76" s="14">
        <v>0</v>
      </c>
      <c r="Z76" s="14">
        <v>0</v>
      </c>
      <c r="AA76" s="14">
        <v>0</v>
      </c>
      <c r="AB76" s="14">
        <v>0</v>
      </c>
      <c r="AC76" s="14" t="s">
        <v>9</v>
      </c>
      <c r="AD76" s="14">
        <v>0</v>
      </c>
      <c r="AE76" s="14">
        <v>0</v>
      </c>
      <c r="AF76" s="14">
        <v>0</v>
      </c>
      <c r="AG76" s="14">
        <v>0</v>
      </c>
      <c r="AH76" s="14" t="s">
        <v>37</v>
      </c>
      <c r="AI76" s="55">
        <f t="shared" si="19"/>
        <v>3</v>
      </c>
      <c r="AJ76" s="151"/>
    </row>
    <row r="77" spans="1:36" x14ac:dyDescent="0.25">
      <c r="A77" s="90"/>
      <c r="B77" s="127" t="s">
        <v>45</v>
      </c>
      <c r="C77" s="51" t="s">
        <v>46</v>
      </c>
      <c r="D77" s="28">
        <v>2</v>
      </c>
      <c r="E77" s="3">
        <v>3</v>
      </c>
      <c r="F77" s="3">
        <v>1</v>
      </c>
      <c r="G77" s="3">
        <v>1</v>
      </c>
      <c r="H77" s="3" t="s">
        <v>9</v>
      </c>
      <c r="I77" s="3">
        <v>0</v>
      </c>
      <c r="J77" s="3">
        <v>3</v>
      </c>
      <c r="K77" s="3">
        <v>0</v>
      </c>
      <c r="L77" s="3">
        <v>0</v>
      </c>
      <c r="M77" s="3">
        <v>0</v>
      </c>
      <c r="N77" s="3">
        <v>2</v>
      </c>
      <c r="O77" s="3" t="s">
        <v>9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 t="s">
        <v>9</v>
      </c>
      <c r="V77" s="3" t="s">
        <v>9</v>
      </c>
      <c r="W77" s="3">
        <v>1</v>
      </c>
      <c r="X77" s="3">
        <v>1</v>
      </c>
      <c r="Y77" s="3">
        <v>0</v>
      </c>
      <c r="Z77" s="3">
        <v>1</v>
      </c>
      <c r="AA77" s="3">
        <v>0</v>
      </c>
      <c r="AB77" s="3">
        <v>0</v>
      </c>
      <c r="AC77" s="3" t="s">
        <v>9</v>
      </c>
      <c r="AD77" s="3">
        <v>0</v>
      </c>
      <c r="AE77" s="3">
        <v>0</v>
      </c>
      <c r="AF77" s="3">
        <v>0</v>
      </c>
      <c r="AG77" s="3">
        <v>7</v>
      </c>
      <c r="AH77" s="3" t="s">
        <v>37</v>
      </c>
      <c r="AI77" s="55">
        <f t="shared" si="19"/>
        <v>23</v>
      </c>
      <c r="AJ77" s="152"/>
    </row>
    <row r="78" spans="1:36" ht="13.5" thickBot="1" x14ac:dyDescent="0.3">
      <c r="A78" s="91"/>
      <c r="B78" s="128"/>
      <c r="C78" s="52" t="s">
        <v>47</v>
      </c>
      <c r="D78" s="26">
        <v>0</v>
      </c>
      <c r="E78" s="8">
        <v>0</v>
      </c>
      <c r="F78" s="8">
        <v>0</v>
      </c>
      <c r="G78" s="8">
        <v>0</v>
      </c>
      <c r="H78" s="8" t="s">
        <v>9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 t="s">
        <v>9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 t="s">
        <v>9</v>
      </c>
      <c r="V78" s="8" t="s">
        <v>9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 t="s">
        <v>9</v>
      </c>
      <c r="AD78" s="8">
        <v>0</v>
      </c>
      <c r="AE78" s="8">
        <v>0</v>
      </c>
      <c r="AF78" s="8">
        <v>0</v>
      </c>
      <c r="AG78" s="8">
        <v>0</v>
      </c>
      <c r="AH78" s="8" t="s">
        <v>37</v>
      </c>
      <c r="AI78" s="56">
        <f t="shared" si="19"/>
        <v>0</v>
      </c>
      <c r="AJ78" s="153"/>
    </row>
    <row r="79" spans="1:36" ht="13.5" thickBot="1" x14ac:dyDescent="0.3">
      <c r="A79" s="110" t="s">
        <v>1</v>
      </c>
      <c r="B79" s="141"/>
      <c r="C79" s="111"/>
      <c r="D79" s="9">
        <f>SUM(D19:D78)</f>
        <v>337</v>
      </c>
      <c r="E79" s="9">
        <f t="shared" ref="E79:AI79" si="21">SUM(E19:E78)</f>
        <v>213</v>
      </c>
      <c r="F79" s="9">
        <f t="shared" si="21"/>
        <v>177</v>
      </c>
      <c r="G79" s="9">
        <f t="shared" si="21"/>
        <v>55</v>
      </c>
      <c r="H79" s="9">
        <f t="shared" si="21"/>
        <v>27</v>
      </c>
      <c r="I79" s="9">
        <f t="shared" si="21"/>
        <v>160</v>
      </c>
      <c r="J79" s="9">
        <f t="shared" si="21"/>
        <v>331</v>
      </c>
      <c r="K79" s="9">
        <f t="shared" si="21"/>
        <v>216</v>
      </c>
      <c r="L79" s="9">
        <f t="shared" si="21"/>
        <v>131</v>
      </c>
      <c r="M79" s="9">
        <f t="shared" si="21"/>
        <v>147</v>
      </c>
      <c r="N79" s="9">
        <f t="shared" si="21"/>
        <v>81</v>
      </c>
      <c r="O79" s="9">
        <f t="shared" si="21"/>
        <v>0</v>
      </c>
      <c r="P79" s="9">
        <f t="shared" si="21"/>
        <v>114</v>
      </c>
      <c r="Q79" s="9">
        <f t="shared" si="21"/>
        <v>91</v>
      </c>
      <c r="R79" s="9">
        <f t="shared" si="21"/>
        <v>141</v>
      </c>
      <c r="S79" s="9">
        <f t="shared" si="21"/>
        <v>131</v>
      </c>
      <c r="T79" s="9">
        <f t="shared" si="21"/>
        <v>116</v>
      </c>
      <c r="U79" s="9">
        <f t="shared" si="21"/>
        <v>62</v>
      </c>
      <c r="V79" s="9">
        <f t="shared" si="21"/>
        <v>37</v>
      </c>
      <c r="W79" s="9">
        <f t="shared" si="21"/>
        <v>205</v>
      </c>
      <c r="X79" s="9">
        <f t="shared" si="21"/>
        <v>233</v>
      </c>
      <c r="Y79" s="9">
        <f t="shared" si="21"/>
        <v>242</v>
      </c>
      <c r="Z79" s="9">
        <f t="shared" si="21"/>
        <v>187</v>
      </c>
      <c r="AA79" s="9">
        <f t="shared" si="21"/>
        <v>170</v>
      </c>
      <c r="AB79" s="9">
        <f t="shared" si="21"/>
        <v>67</v>
      </c>
      <c r="AC79" s="9">
        <f t="shared" si="21"/>
        <v>0</v>
      </c>
      <c r="AD79" s="9">
        <f t="shared" si="21"/>
        <v>212</v>
      </c>
      <c r="AE79" s="9">
        <f t="shared" si="21"/>
        <v>472</v>
      </c>
      <c r="AF79" s="9">
        <f t="shared" si="21"/>
        <v>209</v>
      </c>
      <c r="AG79" s="9">
        <f t="shared" si="21"/>
        <v>479</v>
      </c>
      <c r="AH79" s="9">
        <f t="shared" si="21"/>
        <v>275</v>
      </c>
      <c r="AI79" s="9">
        <f t="shared" si="21"/>
        <v>5318</v>
      </c>
      <c r="AJ79" s="33">
        <f>SUM(AJ19:AJ78)</f>
        <v>5318</v>
      </c>
    </row>
    <row r="81" spans="4:36" s="5" customFormat="1" ht="12" x14ac:dyDescent="0.25">
      <c r="D81" s="1" t="s">
        <v>10</v>
      </c>
      <c r="E81" s="109" t="s">
        <v>11</v>
      </c>
      <c r="F81" s="109"/>
      <c r="G81" s="6"/>
      <c r="H81" s="1" t="s">
        <v>9</v>
      </c>
      <c r="I81" s="109" t="s">
        <v>12</v>
      </c>
      <c r="J81" s="109"/>
      <c r="K81" s="6"/>
      <c r="L81" s="1" t="s">
        <v>13</v>
      </c>
      <c r="M81" s="109" t="s">
        <v>14</v>
      </c>
      <c r="N81" s="109"/>
      <c r="O81" s="109"/>
      <c r="P81" s="109"/>
      <c r="Q81" s="109"/>
      <c r="R81" s="6"/>
      <c r="S81" s="1" t="s">
        <v>15</v>
      </c>
      <c r="T81" s="109" t="s">
        <v>16</v>
      </c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</row>
    <row r="82" spans="4:36" x14ac:dyDescent="0.25">
      <c r="H82" s="1" t="s">
        <v>55</v>
      </c>
      <c r="I82" s="109" t="s">
        <v>56</v>
      </c>
      <c r="J82" s="109"/>
    </row>
    <row r="84" spans="4:36" x14ac:dyDescent="0.25">
      <c r="O84" s="2"/>
    </row>
    <row r="85" spans="4:36" x14ac:dyDescent="0.25">
      <c r="O85" s="2"/>
    </row>
    <row r="86" spans="4:36" x14ac:dyDescent="0.25">
      <c r="O86" s="2"/>
    </row>
    <row r="87" spans="4:36" x14ac:dyDescent="0.25">
      <c r="O87" s="2"/>
    </row>
    <row r="88" spans="4:36" x14ac:dyDescent="0.25">
      <c r="O88" s="2"/>
    </row>
    <row r="89" spans="4:36" x14ac:dyDescent="0.25">
      <c r="O89" s="2"/>
    </row>
  </sheetData>
  <mergeCells count="76">
    <mergeCell ref="A61:A66"/>
    <mergeCell ref="B61:B64"/>
    <mergeCell ref="B49:B52"/>
    <mergeCell ref="AJ49:AJ54"/>
    <mergeCell ref="B53:B54"/>
    <mergeCell ref="I82:J82"/>
    <mergeCell ref="A79:C79"/>
    <mergeCell ref="E81:F81"/>
    <mergeCell ref="I81:J81"/>
    <mergeCell ref="AJ67:AJ72"/>
    <mergeCell ref="M81:Q81"/>
    <mergeCell ref="A67:A72"/>
    <mergeCell ref="B67:B70"/>
    <mergeCell ref="T81:AJ81"/>
    <mergeCell ref="B71:B72"/>
    <mergeCell ref="A73:A78"/>
    <mergeCell ref="B73:B76"/>
    <mergeCell ref="AJ73:AJ78"/>
    <mergeCell ref="B77:B78"/>
    <mergeCell ref="B29:B30"/>
    <mergeCell ref="AJ61:AJ66"/>
    <mergeCell ref="B65:B66"/>
    <mergeCell ref="A55:A60"/>
    <mergeCell ref="B55:B58"/>
    <mergeCell ref="AJ55:AJ60"/>
    <mergeCell ref="B59:B60"/>
    <mergeCell ref="A37:A42"/>
    <mergeCell ref="B37:B40"/>
    <mergeCell ref="AJ37:AJ42"/>
    <mergeCell ref="B41:B42"/>
    <mergeCell ref="A43:A48"/>
    <mergeCell ref="B43:B46"/>
    <mergeCell ref="AJ43:AJ48"/>
    <mergeCell ref="B47:B48"/>
    <mergeCell ref="A49:A54"/>
    <mergeCell ref="A31:A36"/>
    <mergeCell ref="B31:B34"/>
    <mergeCell ref="AJ31:AJ36"/>
    <mergeCell ref="B35:B36"/>
    <mergeCell ref="A16:AJ16"/>
    <mergeCell ref="A17:A18"/>
    <mergeCell ref="B17:C18"/>
    <mergeCell ref="AI17:AI18"/>
    <mergeCell ref="AJ17:AJ18"/>
    <mergeCell ref="A19:A24"/>
    <mergeCell ref="B19:B22"/>
    <mergeCell ref="AJ19:AJ24"/>
    <mergeCell ref="B23:B24"/>
    <mergeCell ref="A25:A30"/>
    <mergeCell ref="B25:B28"/>
    <mergeCell ref="AJ25:AJ30"/>
    <mergeCell ref="A14:C14"/>
    <mergeCell ref="AI14:AJ14"/>
    <mergeCell ref="A13:C13"/>
    <mergeCell ref="AI13:AJ13"/>
    <mergeCell ref="A10:C10"/>
    <mergeCell ref="AI10:AJ10"/>
    <mergeCell ref="A11:C11"/>
    <mergeCell ref="AI11:AJ11"/>
    <mergeCell ref="A12:C12"/>
    <mergeCell ref="AI12:AJ12"/>
    <mergeCell ref="A9:C9"/>
    <mergeCell ref="AI9:AJ9"/>
    <mergeCell ref="A8:C8"/>
    <mergeCell ref="AI8:AJ8"/>
    <mergeCell ref="A1:AJ1"/>
    <mergeCell ref="A2:C3"/>
    <mergeCell ref="AI2:AJ3"/>
    <mergeCell ref="A4:C4"/>
    <mergeCell ref="AI4:AJ4"/>
    <mergeCell ref="A6:C6"/>
    <mergeCell ref="AI6:AJ6"/>
    <mergeCell ref="A5:C5"/>
    <mergeCell ref="AI5:AJ5"/>
    <mergeCell ref="A7:C7"/>
    <mergeCell ref="AI7:AJ7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F6C2-A74E-4021-B6D4-292A67886320}">
  <dimension ref="A1:AO103"/>
  <sheetViews>
    <sheetView zoomScaleNormal="100" workbookViewId="0">
      <selection activeCell="X20" sqref="X20"/>
    </sheetView>
  </sheetViews>
  <sheetFormatPr defaultColWidth="9.140625" defaultRowHeight="12.75" x14ac:dyDescent="0.25"/>
  <cols>
    <col min="1" max="1" width="9.28515625" style="2" customWidth="1"/>
    <col min="2" max="2" width="13.140625" style="2" customWidth="1"/>
    <col min="3" max="3" width="27.5703125" style="2" customWidth="1"/>
    <col min="4" max="4" width="4.85546875" style="2" customWidth="1"/>
    <col min="5" max="5" width="4" style="2" bestFit="1" customWidth="1"/>
    <col min="6" max="6" width="5" style="2" bestFit="1" customWidth="1"/>
    <col min="7" max="7" width="4.7109375" style="2" customWidth="1"/>
    <col min="8" max="8" width="4.140625" style="2" customWidth="1"/>
    <col min="9" max="9" width="4.7109375" style="2" customWidth="1"/>
    <col min="10" max="10" width="4" style="2" customWidth="1"/>
    <col min="11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5" style="2" bestFit="1" customWidth="1"/>
    <col min="22" max="22" width="5.42578125" style="2" customWidth="1"/>
    <col min="23" max="23" width="4.42578125" style="2" bestFit="1" customWidth="1"/>
    <col min="24" max="25" width="4.140625" style="2" bestFit="1" customWidth="1"/>
    <col min="26" max="28" width="5" style="2" bestFit="1" customWidth="1"/>
    <col min="29" max="29" width="4" style="2" bestFit="1" customWidth="1"/>
    <col min="30" max="30" width="3.7109375" style="2" customWidth="1"/>
    <col min="31" max="31" width="5" style="2" customWidth="1"/>
    <col min="32" max="32" width="5" style="2" bestFit="1" customWidth="1"/>
    <col min="33" max="34" width="5" style="2" customWidth="1"/>
    <col min="35" max="35" width="6.140625" style="2" customWidth="1"/>
    <col min="36" max="36" width="7.85546875" style="2" customWidth="1"/>
    <col min="37" max="16384" width="9.140625" style="2"/>
  </cols>
  <sheetData>
    <row r="1" spans="1:41" ht="22.5" customHeight="1" thickBot="1" x14ac:dyDescent="0.3">
      <c r="A1" s="76" t="s">
        <v>78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41" ht="59.25" customHeight="1" x14ac:dyDescent="0.25">
      <c r="A2" s="77" t="s">
        <v>0</v>
      </c>
      <c r="B2" s="112"/>
      <c r="C2" s="78"/>
      <c r="D2" s="11">
        <v>45962</v>
      </c>
      <c r="E2" s="11">
        <v>45963</v>
      </c>
      <c r="F2" s="11">
        <v>45964</v>
      </c>
      <c r="G2" s="11">
        <v>45965</v>
      </c>
      <c r="H2" s="11">
        <v>45966</v>
      </c>
      <c r="I2" s="11">
        <v>45967</v>
      </c>
      <c r="J2" s="11">
        <v>45968</v>
      </c>
      <c r="K2" s="11">
        <v>45969</v>
      </c>
      <c r="L2" s="11">
        <v>45970</v>
      </c>
      <c r="M2" s="11">
        <v>45971</v>
      </c>
      <c r="N2" s="11">
        <v>45972</v>
      </c>
      <c r="O2" s="11">
        <v>45973</v>
      </c>
      <c r="P2" s="11">
        <v>45974</v>
      </c>
      <c r="Q2" s="11">
        <v>45975</v>
      </c>
      <c r="R2" s="11">
        <v>45976</v>
      </c>
      <c r="S2" s="11">
        <v>45977</v>
      </c>
      <c r="T2" s="11">
        <v>45978</v>
      </c>
      <c r="U2" s="11">
        <v>45979</v>
      </c>
      <c r="V2" s="11">
        <v>45980</v>
      </c>
      <c r="W2" s="11">
        <v>45981</v>
      </c>
      <c r="X2" s="11">
        <v>45982</v>
      </c>
      <c r="Y2" s="11">
        <v>45983</v>
      </c>
      <c r="Z2" s="11">
        <v>45984</v>
      </c>
      <c r="AA2" s="11">
        <v>45985</v>
      </c>
      <c r="AB2" s="11">
        <v>45986</v>
      </c>
      <c r="AC2" s="11">
        <v>45987</v>
      </c>
      <c r="AD2" s="11">
        <v>45988</v>
      </c>
      <c r="AE2" s="11">
        <v>45989</v>
      </c>
      <c r="AF2" s="11">
        <v>45990</v>
      </c>
      <c r="AG2" s="11">
        <v>45991</v>
      </c>
      <c r="AH2" s="81" t="s">
        <v>1</v>
      </c>
      <c r="AI2" s="82"/>
    </row>
    <row r="3" spans="1:41" ht="71.25" customHeight="1" x14ac:dyDescent="0.25">
      <c r="A3" s="79"/>
      <c r="B3" s="113"/>
      <c r="C3" s="80"/>
      <c r="D3" s="12" t="s">
        <v>8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2" t="s">
        <v>7</v>
      </c>
      <c r="K3" s="12" t="s">
        <v>8</v>
      </c>
      <c r="L3" s="12" t="s">
        <v>2</v>
      </c>
      <c r="M3" s="12" t="s">
        <v>3</v>
      </c>
      <c r="N3" s="12" t="s">
        <v>4</v>
      </c>
      <c r="O3" s="12" t="s">
        <v>5</v>
      </c>
      <c r="P3" s="12" t="s">
        <v>6</v>
      </c>
      <c r="Q3" s="12" t="s">
        <v>7</v>
      </c>
      <c r="R3" s="12" t="s">
        <v>8</v>
      </c>
      <c r="S3" s="12" t="s">
        <v>2</v>
      </c>
      <c r="T3" s="12" t="s">
        <v>3</v>
      </c>
      <c r="U3" s="12" t="s">
        <v>4</v>
      </c>
      <c r="V3" s="12" t="s">
        <v>5</v>
      </c>
      <c r="W3" s="12" t="s">
        <v>6</v>
      </c>
      <c r="X3" s="12" t="s">
        <v>7</v>
      </c>
      <c r="Y3" s="12" t="s">
        <v>8</v>
      </c>
      <c r="Z3" s="12" t="s">
        <v>2</v>
      </c>
      <c r="AA3" s="12" t="s">
        <v>3</v>
      </c>
      <c r="AB3" s="12" t="s">
        <v>4</v>
      </c>
      <c r="AC3" s="12" t="s">
        <v>5</v>
      </c>
      <c r="AD3" s="12" t="s">
        <v>6</v>
      </c>
      <c r="AE3" s="12" t="s">
        <v>7</v>
      </c>
      <c r="AF3" s="12" t="s">
        <v>8</v>
      </c>
      <c r="AG3" s="12" t="s">
        <v>2</v>
      </c>
      <c r="AH3" s="83"/>
      <c r="AI3" s="84"/>
      <c r="AO3" s="2" t="s">
        <v>62</v>
      </c>
    </row>
    <row r="4" spans="1:41" ht="15" customHeight="1" x14ac:dyDescent="0.25">
      <c r="A4" s="72" t="s">
        <v>39</v>
      </c>
      <c r="B4" s="114"/>
      <c r="C4" s="73"/>
      <c r="D4" s="3" t="s">
        <v>9</v>
      </c>
      <c r="E4" s="3" t="s">
        <v>9</v>
      </c>
      <c r="F4" s="3">
        <v>269</v>
      </c>
      <c r="G4" s="3">
        <v>201</v>
      </c>
      <c r="H4" s="3">
        <v>100</v>
      </c>
      <c r="I4" s="3">
        <v>73</v>
      </c>
      <c r="J4" s="3">
        <v>169</v>
      </c>
      <c r="K4" s="3" t="s">
        <v>9</v>
      </c>
      <c r="L4" s="3" t="s">
        <v>9</v>
      </c>
      <c r="M4" s="3">
        <v>109</v>
      </c>
      <c r="N4" s="3">
        <v>72</v>
      </c>
      <c r="O4" s="17">
        <v>88</v>
      </c>
      <c r="P4" s="17">
        <v>55</v>
      </c>
      <c r="Q4" s="13">
        <v>89</v>
      </c>
      <c r="R4" s="3" t="s">
        <v>9</v>
      </c>
      <c r="S4" s="3" t="s">
        <v>9</v>
      </c>
      <c r="T4" s="3">
        <v>121</v>
      </c>
      <c r="U4" s="13">
        <v>305</v>
      </c>
      <c r="V4" s="13">
        <v>236</v>
      </c>
      <c r="W4" s="3" t="s">
        <v>9</v>
      </c>
      <c r="X4" s="3">
        <v>50</v>
      </c>
      <c r="Y4" s="3" t="s">
        <v>9</v>
      </c>
      <c r="Z4" s="3" t="s">
        <v>9</v>
      </c>
      <c r="AA4" s="3">
        <v>362</v>
      </c>
      <c r="AB4" s="3">
        <v>263</v>
      </c>
      <c r="AC4" s="3">
        <v>140</v>
      </c>
      <c r="AD4" s="3">
        <v>92</v>
      </c>
      <c r="AE4" s="3">
        <v>26</v>
      </c>
      <c r="AF4" s="3" t="s">
        <v>9</v>
      </c>
      <c r="AG4" s="3" t="s">
        <v>9</v>
      </c>
      <c r="AH4" s="74">
        <f t="shared" ref="AH4" si="0">SUM(D4:AG4)</f>
        <v>2820</v>
      </c>
      <c r="AI4" s="75"/>
    </row>
    <row r="5" spans="1:41" x14ac:dyDescent="0.25">
      <c r="A5" s="72" t="s">
        <v>32</v>
      </c>
      <c r="B5" s="114"/>
      <c r="C5" s="73"/>
      <c r="D5" s="3" t="s">
        <v>9</v>
      </c>
      <c r="E5" s="3">
        <v>22</v>
      </c>
      <c r="F5" s="3" t="s">
        <v>9</v>
      </c>
      <c r="G5" s="3">
        <v>227</v>
      </c>
      <c r="H5" s="3">
        <v>175</v>
      </c>
      <c r="I5" s="3">
        <v>111</v>
      </c>
      <c r="J5" s="3" t="s">
        <v>37</v>
      </c>
      <c r="K5" s="3">
        <v>132</v>
      </c>
      <c r="L5" s="3" t="s">
        <v>9</v>
      </c>
      <c r="M5" s="3">
        <v>162</v>
      </c>
      <c r="N5" s="3">
        <v>167</v>
      </c>
      <c r="O5" s="3">
        <v>108</v>
      </c>
      <c r="P5" s="3">
        <v>122</v>
      </c>
      <c r="Q5" s="3">
        <v>84</v>
      </c>
      <c r="R5" s="3" t="s">
        <v>9</v>
      </c>
      <c r="S5" s="3" t="s">
        <v>9</v>
      </c>
      <c r="T5" s="3">
        <v>61</v>
      </c>
      <c r="U5" s="13">
        <v>129</v>
      </c>
      <c r="V5" s="13">
        <v>156</v>
      </c>
      <c r="W5" s="3" t="s">
        <v>9</v>
      </c>
      <c r="X5" s="3">
        <v>178</v>
      </c>
      <c r="Y5" s="3">
        <v>95</v>
      </c>
      <c r="Z5" s="3" t="s">
        <v>9</v>
      </c>
      <c r="AA5" s="3">
        <v>235</v>
      </c>
      <c r="AB5" s="3">
        <v>165</v>
      </c>
      <c r="AC5" s="3">
        <v>126</v>
      </c>
      <c r="AD5" s="3">
        <v>59</v>
      </c>
      <c r="AE5" s="3">
        <v>21</v>
      </c>
      <c r="AF5" s="3" t="s">
        <v>9</v>
      </c>
      <c r="AG5" s="3" t="s">
        <v>9</v>
      </c>
      <c r="AH5" s="74">
        <f t="shared" ref="AH5:AH13" si="1">SUM(D5:AG5)</f>
        <v>2535</v>
      </c>
      <c r="AI5" s="75"/>
    </row>
    <row r="6" spans="1:41" x14ac:dyDescent="0.25">
      <c r="A6" s="72" t="s">
        <v>38</v>
      </c>
      <c r="B6" s="114"/>
      <c r="C6" s="73"/>
      <c r="D6" s="3">
        <v>68</v>
      </c>
      <c r="E6" s="3" t="s">
        <v>9</v>
      </c>
      <c r="F6" s="3">
        <v>203</v>
      </c>
      <c r="G6" s="3">
        <v>127</v>
      </c>
      <c r="H6" s="3">
        <v>87</v>
      </c>
      <c r="I6" s="3">
        <v>45</v>
      </c>
      <c r="J6" s="3">
        <v>107</v>
      </c>
      <c r="K6" s="3" t="s">
        <v>9</v>
      </c>
      <c r="L6" s="3">
        <v>21</v>
      </c>
      <c r="M6" s="3" t="s">
        <v>9</v>
      </c>
      <c r="N6" s="3">
        <v>41</v>
      </c>
      <c r="O6" s="17">
        <v>82</v>
      </c>
      <c r="P6" s="17">
        <v>35</v>
      </c>
      <c r="Q6" s="18">
        <v>42</v>
      </c>
      <c r="R6" s="3" t="s">
        <v>9</v>
      </c>
      <c r="S6" s="3" t="s">
        <v>9</v>
      </c>
      <c r="T6" s="3">
        <v>56</v>
      </c>
      <c r="U6" s="13">
        <v>155</v>
      </c>
      <c r="V6" s="13">
        <v>85</v>
      </c>
      <c r="W6" s="3" t="s">
        <v>9</v>
      </c>
      <c r="X6" s="3">
        <v>113</v>
      </c>
      <c r="Y6" s="3" t="s">
        <v>9</v>
      </c>
      <c r="Z6" s="3" t="s">
        <v>9</v>
      </c>
      <c r="AA6" s="3">
        <v>142</v>
      </c>
      <c r="AB6" s="3">
        <v>148</v>
      </c>
      <c r="AC6" s="3">
        <v>109</v>
      </c>
      <c r="AD6" s="3">
        <v>42</v>
      </c>
      <c r="AE6" s="3">
        <v>133</v>
      </c>
      <c r="AF6" s="3">
        <v>77</v>
      </c>
      <c r="AG6" s="3" t="s">
        <v>9</v>
      </c>
      <c r="AH6" s="74">
        <f>SUM(D6:AG6)</f>
        <v>1918</v>
      </c>
      <c r="AI6" s="75"/>
    </row>
    <row r="7" spans="1:41" x14ac:dyDescent="0.25">
      <c r="A7" s="72" t="s">
        <v>34</v>
      </c>
      <c r="B7" s="114"/>
      <c r="C7" s="73"/>
      <c r="D7" s="3" t="s">
        <v>9</v>
      </c>
      <c r="E7" s="3" t="s">
        <v>9</v>
      </c>
      <c r="F7" s="13">
        <v>156</v>
      </c>
      <c r="G7" s="13">
        <v>132</v>
      </c>
      <c r="H7" s="13">
        <v>53</v>
      </c>
      <c r="I7" s="13">
        <v>49</v>
      </c>
      <c r="J7" s="13">
        <v>83</v>
      </c>
      <c r="K7" s="13">
        <v>83</v>
      </c>
      <c r="L7" s="13" t="s">
        <v>9</v>
      </c>
      <c r="M7" s="13">
        <v>71</v>
      </c>
      <c r="N7" s="13">
        <v>85</v>
      </c>
      <c r="O7" s="13">
        <v>65</v>
      </c>
      <c r="P7" s="13" t="s">
        <v>9</v>
      </c>
      <c r="Q7" s="13" t="s">
        <v>9</v>
      </c>
      <c r="R7" s="13" t="s">
        <v>9</v>
      </c>
      <c r="S7" s="13" t="s">
        <v>9</v>
      </c>
      <c r="T7" s="13">
        <v>43</v>
      </c>
      <c r="U7" s="13">
        <v>158</v>
      </c>
      <c r="V7" s="13">
        <v>235</v>
      </c>
      <c r="W7" s="13">
        <v>11</v>
      </c>
      <c r="X7" s="13">
        <v>103</v>
      </c>
      <c r="Y7" s="13">
        <v>59</v>
      </c>
      <c r="Z7" s="13" t="s">
        <v>9</v>
      </c>
      <c r="AA7" s="13">
        <v>97</v>
      </c>
      <c r="AB7" s="13">
        <v>150</v>
      </c>
      <c r="AC7" s="13">
        <v>58</v>
      </c>
      <c r="AD7" s="13" t="s">
        <v>30</v>
      </c>
      <c r="AE7" s="13">
        <v>6</v>
      </c>
      <c r="AF7" s="13" t="s">
        <v>9</v>
      </c>
      <c r="AG7" s="3" t="s">
        <v>9</v>
      </c>
      <c r="AH7" s="74">
        <f t="shared" si="1"/>
        <v>1697</v>
      </c>
      <c r="AI7" s="75"/>
    </row>
    <row r="8" spans="1:41" x14ac:dyDescent="0.25">
      <c r="A8" s="72" t="s">
        <v>33</v>
      </c>
      <c r="B8" s="114"/>
      <c r="C8" s="73"/>
      <c r="D8" s="3" t="s">
        <v>9</v>
      </c>
      <c r="E8" s="3" t="s">
        <v>9</v>
      </c>
      <c r="F8" s="3">
        <v>115</v>
      </c>
      <c r="G8" s="3">
        <v>119</v>
      </c>
      <c r="H8" s="3">
        <v>47</v>
      </c>
      <c r="I8" s="3">
        <v>31</v>
      </c>
      <c r="J8" s="3">
        <v>69</v>
      </c>
      <c r="K8" s="3">
        <v>34</v>
      </c>
      <c r="L8" s="3" t="s">
        <v>9</v>
      </c>
      <c r="M8" s="3">
        <v>39</v>
      </c>
      <c r="N8" s="3">
        <v>26</v>
      </c>
      <c r="O8" s="3">
        <v>58</v>
      </c>
      <c r="P8" s="3">
        <v>21</v>
      </c>
      <c r="Q8" s="3">
        <v>19</v>
      </c>
      <c r="R8" s="3" t="s">
        <v>9</v>
      </c>
      <c r="S8" s="3" t="s">
        <v>9</v>
      </c>
      <c r="T8" s="3">
        <v>62</v>
      </c>
      <c r="U8" s="13">
        <v>131</v>
      </c>
      <c r="V8" s="13">
        <v>86</v>
      </c>
      <c r="W8" s="3" t="s">
        <v>9</v>
      </c>
      <c r="X8" s="3">
        <v>65</v>
      </c>
      <c r="Y8" s="3" t="s">
        <v>9</v>
      </c>
      <c r="Z8" s="3">
        <v>63</v>
      </c>
      <c r="AA8" s="3" t="s">
        <v>9</v>
      </c>
      <c r="AB8" s="3">
        <v>139</v>
      </c>
      <c r="AC8" s="3">
        <v>78</v>
      </c>
      <c r="AD8" s="3">
        <v>42</v>
      </c>
      <c r="AE8" s="3">
        <v>67</v>
      </c>
      <c r="AF8" s="3">
        <v>25</v>
      </c>
      <c r="AG8" s="3" t="s">
        <v>9</v>
      </c>
      <c r="AH8" s="74">
        <f>SUM(D8:AG8)</f>
        <v>1336</v>
      </c>
      <c r="AI8" s="75"/>
    </row>
    <row r="9" spans="1:41" x14ac:dyDescent="0.25">
      <c r="A9" s="72" t="s">
        <v>72</v>
      </c>
      <c r="B9" s="114"/>
      <c r="C9" s="73"/>
      <c r="D9" s="3">
        <v>43</v>
      </c>
      <c r="E9" s="3" t="s">
        <v>9</v>
      </c>
      <c r="F9" s="13">
        <v>146</v>
      </c>
      <c r="G9" s="3">
        <v>134</v>
      </c>
      <c r="H9" s="3">
        <v>95</v>
      </c>
      <c r="I9" s="13">
        <v>56</v>
      </c>
      <c r="J9" s="3">
        <v>57</v>
      </c>
      <c r="K9" s="3">
        <v>28</v>
      </c>
      <c r="L9" s="3" t="s">
        <v>9</v>
      </c>
      <c r="M9" s="3">
        <v>76</v>
      </c>
      <c r="N9" s="3">
        <v>37</v>
      </c>
      <c r="O9" s="17">
        <v>12</v>
      </c>
      <c r="P9" s="17">
        <v>0</v>
      </c>
      <c r="Q9" s="3">
        <v>2</v>
      </c>
      <c r="R9" s="3" t="s">
        <v>9</v>
      </c>
      <c r="S9" s="3" t="s">
        <v>9</v>
      </c>
      <c r="T9" s="13">
        <v>0</v>
      </c>
      <c r="U9" s="13">
        <v>44</v>
      </c>
      <c r="V9" s="13">
        <v>78</v>
      </c>
      <c r="W9" s="17">
        <v>33</v>
      </c>
      <c r="X9" s="3">
        <v>56</v>
      </c>
      <c r="Y9" s="3" t="s">
        <v>9</v>
      </c>
      <c r="Z9" s="3" t="s">
        <v>9</v>
      </c>
      <c r="AA9" s="3">
        <v>179</v>
      </c>
      <c r="AB9" s="3">
        <v>79</v>
      </c>
      <c r="AC9" s="13">
        <v>66</v>
      </c>
      <c r="AD9" s="13">
        <v>24</v>
      </c>
      <c r="AE9" s="13" t="s">
        <v>37</v>
      </c>
      <c r="AF9" s="13">
        <v>0</v>
      </c>
      <c r="AG9" s="3" t="s">
        <v>9</v>
      </c>
      <c r="AH9" s="74">
        <f t="shared" si="1"/>
        <v>1245</v>
      </c>
      <c r="AI9" s="75"/>
    </row>
    <row r="10" spans="1:41" x14ac:dyDescent="0.25">
      <c r="A10" s="72" t="s">
        <v>73</v>
      </c>
      <c r="B10" s="114"/>
      <c r="C10" s="73"/>
      <c r="D10" s="3">
        <v>22</v>
      </c>
      <c r="E10" s="3" t="s">
        <v>9</v>
      </c>
      <c r="F10" s="13">
        <v>148</v>
      </c>
      <c r="G10" s="3">
        <v>102</v>
      </c>
      <c r="H10" s="3">
        <v>76</v>
      </c>
      <c r="I10" s="13">
        <v>52</v>
      </c>
      <c r="J10" s="3">
        <v>27</v>
      </c>
      <c r="K10" s="3">
        <v>25</v>
      </c>
      <c r="L10" s="3" t="s">
        <v>9</v>
      </c>
      <c r="M10" s="3">
        <v>41</v>
      </c>
      <c r="N10" s="3">
        <v>25</v>
      </c>
      <c r="O10" s="17">
        <v>0</v>
      </c>
      <c r="P10" s="17">
        <v>0</v>
      </c>
      <c r="Q10" s="3">
        <v>12</v>
      </c>
      <c r="R10" s="3" t="s">
        <v>9</v>
      </c>
      <c r="S10" s="3" t="s">
        <v>9</v>
      </c>
      <c r="T10" s="13">
        <v>15</v>
      </c>
      <c r="U10" s="13">
        <v>43</v>
      </c>
      <c r="V10" s="13">
        <v>82</v>
      </c>
      <c r="W10" s="17" t="s">
        <v>9</v>
      </c>
      <c r="X10" s="3">
        <v>34</v>
      </c>
      <c r="Y10" s="3">
        <v>23</v>
      </c>
      <c r="Z10" s="3" t="s">
        <v>9</v>
      </c>
      <c r="AA10" s="3">
        <v>157</v>
      </c>
      <c r="AB10" s="3">
        <v>78</v>
      </c>
      <c r="AC10" s="13">
        <v>71</v>
      </c>
      <c r="AD10" s="13">
        <v>30</v>
      </c>
      <c r="AE10" s="13">
        <v>34</v>
      </c>
      <c r="AF10" s="13">
        <v>17</v>
      </c>
      <c r="AG10" s="3" t="s">
        <v>9</v>
      </c>
      <c r="AH10" s="74">
        <f t="shared" si="1"/>
        <v>1114</v>
      </c>
      <c r="AI10" s="75"/>
    </row>
    <row r="11" spans="1:41" x14ac:dyDescent="0.25">
      <c r="A11" s="72" t="s">
        <v>80</v>
      </c>
      <c r="B11" s="114"/>
      <c r="C11" s="73"/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17">
        <v>0</v>
      </c>
      <c r="P11" s="17">
        <v>10</v>
      </c>
      <c r="Q11" s="3">
        <v>19</v>
      </c>
      <c r="R11" s="3" t="s">
        <v>9</v>
      </c>
      <c r="S11" s="3" t="s">
        <v>9</v>
      </c>
      <c r="T11" s="13">
        <v>39</v>
      </c>
      <c r="U11" s="13">
        <v>87</v>
      </c>
      <c r="V11" s="13">
        <v>138</v>
      </c>
      <c r="W11" s="17" t="s">
        <v>9</v>
      </c>
      <c r="X11" s="3" t="s">
        <v>37</v>
      </c>
      <c r="Y11" s="3">
        <v>64</v>
      </c>
      <c r="Z11" s="3" t="s">
        <v>9</v>
      </c>
      <c r="AA11" s="3">
        <v>167</v>
      </c>
      <c r="AB11" s="3">
        <v>135</v>
      </c>
      <c r="AC11" s="13" t="s">
        <v>37</v>
      </c>
      <c r="AD11" s="13">
        <v>66</v>
      </c>
      <c r="AE11" s="13">
        <v>37</v>
      </c>
      <c r="AF11" s="13" t="s">
        <v>9</v>
      </c>
      <c r="AG11" s="3" t="s">
        <v>9</v>
      </c>
      <c r="AH11" s="74">
        <f t="shared" si="1"/>
        <v>762</v>
      </c>
      <c r="AI11" s="75"/>
    </row>
    <row r="12" spans="1:41" x14ac:dyDescent="0.25">
      <c r="A12" s="72" t="s">
        <v>36</v>
      </c>
      <c r="B12" s="114"/>
      <c r="C12" s="73"/>
      <c r="D12" s="3" t="s">
        <v>9</v>
      </c>
      <c r="E12" s="3" t="s">
        <v>9</v>
      </c>
      <c r="F12" s="13">
        <v>67</v>
      </c>
      <c r="G12" s="3">
        <v>51</v>
      </c>
      <c r="H12" s="3">
        <v>78</v>
      </c>
      <c r="I12" s="3">
        <v>92</v>
      </c>
      <c r="J12" s="3">
        <v>8</v>
      </c>
      <c r="K12" s="3">
        <v>8</v>
      </c>
      <c r="L12" s="3" t="s">
        <v>9</v>
      </c>
      <c r="M12" s="3">
        <v>11</v>
      </c>
      <c r="N12" s="3">
        <v>14</v>
      </c>
      <c r="O12" s="17">
        <v>1</v>
      </c>
      <c r="P12" s="17">
        <v>17</v>
      </c>
      <c r="Q12" s="3">
        <v>13</v>
      </c>
      <c r="R12" s="3" t="s">
        <v>9</v>
      </c>
      <c r="S12" s="3" t="s">
        <v>9</v>
      </c>
      <c r="T12" s="13">
        <v>22</v>
      </c>
      <c r="U12" s="13">
        <v>6</v>
      </c>
      <c r="V12" s="13">
        <v>14</v>
      </c>
      <c r="W12" s="17">
        <v>16</v>
      </c>
      <c r="X12" s="3">
        <v>15</v>
      </c>
      <c r="Y12" s="3">
        <v>30</v>
      </c>
      <c r="Z12" s="3" t="s">
        <v>9</v>
      </c>
      <c r="AA12" s="3">
        <v>44</v>
      </c>
      <c r="AB12" s="3">
        <v>93</v>
      </c>
      <c r="AC12" s="13">
        <v>30</v>
      </c>
      <c r="AD12" s="13">
        <v>33</v>
      </c>
      <c r="AE12" s="13">
        <v>79</v>
      </c>
      <c r="AF12" s="13" t="s">
        <v>9</v>
      </c>
      <c r="AG12" s="3" t="s">
        <v>9</v>
      </c>
      <c r="AH12" s="74">
        <f t="shared" si="1"/>
        <v>742</v>
      </c>
      <c r="AI12" s="75"/>
    </row>
    <row r="13" spans="1:41" x14ac:dyDescent="0.25">
      <c r="A13" s="72" t="s">
        <v>76</v>
      </c>
      <c r="B13" s="114"/>
      <c r="C13" s="73"/>
      <c r="D13" s="3">
        <v>43</v>
      </c>
      <c r="E13" s="3" t="s">
        <v>9</v>
      </c>
      <c r="F13" s="13">
        <v>51</v>
      </c>
      <c r="G13" s="13">
        <v>56</v>
      </c>
      <c r="H13" s="13">
        <v>52</v>
      </c>
      <c r="I13" s="13">
        <v>27</v>
      </c>
      <c r="J13" s="13">
        <v>49</v>
      </c>
      <c r="K13" s="13" t="s">
        <v>9</v>
      </c>
      <c r="L13" s="13" t="s">
        <v>9</v>
      </c>
      <c r="M13" s="13">
        <v>26</v>
      </c>
      <c r="N13" s="13">
        <v>39</v>
      </c>
      <c r="O13" s="18">
        <v>25</v>
      </c>
      <c r="P13" s="18">
        <v>20</v>
      </c>
      <c r="Q13" s="13">
        <v>23</v>
      </c>
      <c r="R13" s="13" t="s">
        <v>9</v>
      </c>
      <c r="S13" s="13" t="s">
        <v>9</v>
      </c>
      <c r="T13" s="13">
        <v>16</v>
      </c>
      <c r="U13" s="13">
        <v>33</v>
      </c>
      <c r="V13" s="13" t="s">
        <v>29</v>
      </c>
      <c r="W13" s="13" t="s">
        <v>29</v>
      </c>
      <c r="X13" s="13" t="s">
        <v>29</v>
      </c>
      <c r="Y13" s="13" t="s">
        <v>29</v>
      </c>
      <c r="Z13" s="13" t="s">
        <v>29</v>
      </c>
      <c r="AA13" s="13" t="s">
        <v>29</v>
      </c>
      <c r="AB13" s="13" t="s">
        <v>29</v>
      </c>
      <c r="AC13" s="13" t="s">
        <v>29</v>
      </c>
      <c r="AD13" s="13" t="s">
        <v>29</v>
      </c>
      <c r="AE13" s="13" t="s">
        <v>29</v>
      </c>
      <c r="AF13" s="13" t="s">
        <v>29</v>
      </c>
      <c r="AG13" s="13" t="s">
        <v>29</v>
      </c>
      <c r="AH13" s="74">
        <f t="shared" si="1"/>
        <v>460</v>
      </c>
      <c r="AI13" s="75"/>
    </row>
    <row r="14" spans="1:41" x14ac:dyDescent="0.25">
      <c r="A14" s="72" t="s">
        <v>81</v>
      </c>
      <c r="B14" s="114"/>
      <c r="C14" s="73"/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29</v>
      </c>
      <c r="AB14" s="3" t="s">
        <v>29</v>
      </c>
      <c r="AC14" s="3">
        <v>0</v>
      </c>
      <c r="AD14" s="13">
        <v>4</v>
      </c>
      <c r="AE14" s="13">
        <v>46</v>
      </c>
      <c r="AF14" s="13">
        <v>203</v>
      </c>
      <c r="AG14" s="13" t="s">
        <v>9</v>
      </c>
      <c r="AH14" s="74">
        <f t="shared" ref="AH14" si="2">SUM(D14:AG14)</f>
        <v>253</v>
      </c>
      <c r="AI14" s="75"/>
    </row>
    <row r="15" spans="1:41" x14ac:dyDescent="0.25">
      <c r="A15" s="72" t="s">
        <v>35</v>
      </c>
      <c r="B15" s="114"/>
      <c r="C15" s="73"/>
      <c r="D15" s="3" t="s">
        <v>9</v>
      </c>
      <c r="E15" s="3" t="s">
        <v>9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74">
        <f t="shared" ref="AH15" si="3">SUM(D15:AG15)</f>
        <v>0</v>
      </c>
      <c r="AI15" s="75"/>
    </row>
    <row r="16" spans="1:41" ht="13.5" thickBot="1" x14ac:dyDescent="0.3">
      <c r="A16" s="92" t="s">
        <v>1</v>
      </c>
      <c r="B16" s="115"/>
      <c r="C16" s="93"/>
      <c r="D16" s="10">
        <f t="shared" ref="D16:AG16" si="4">SUM(D4:D15)</f>
        <v>176</v>
      </c>
      <c r="E16" s="10">
        <f t="shared" si="4"/>
        <v>22</v>
      </c>
      <c r="F16" s="10">
        <f t="shared" si="4"/>
        <v>1155</v>
      </c>
      <c r="G16" s="10">
        <f t="shared" si="4"/>
        <v>1149</v>
      </c>
      <c r="H16" s="10">
        <f t="shared" si="4"/>
        <v>763</v>
      </c>
      <c r="I16" s="10">
        <f t="shared" si="4"/>
        <v>536</v>
      </c>
      <c r="J16" s="10">
        <f t="shared" si="4"/>
        <v>569</v>
      </c>
      <c r="K16" s="10">
        <f t="shared" si="4"/>
        <v>310</v>
      </c>
      <c r="L16" s="10">
        <f t="shared" si="4"/>
        <v>21</v>
      </c>
      <c r="M16" s="10">
        <f t="shared" si="4"/>
        <v>535</v>
      </c>
      <c r="N16" s="10">
        <f t="shared" si="4"/>
        <v>506</v>
      </c>
      <c r="O16" s="10">
        <f t="shared" si="4"/>
        <v>439</v>
      </c>
      <c r="P16" s="10">
        <f t="shared" si="4"/>
        <v>280</v>
      </c>
      <c r="Q16" s="10">
        <f t="shared" si="4"/>
        <v>303</v>
      </c>
      <c r="R16" s="10">
        <f t="shared" si="4"/>
        <v>0</v>
      </c>
      <c r="S16" s="10">
        <f t="shared" si="4"/>
        <v>0</v>
      </c>
      <c r="T16" s="10">
        <f t="shared" si="4"/>
        <v>435</v>
      </c>
      <c r="U16" s="10">
        <f t="shared" si="4"/>
        <v>1091</v>
      </c>
      <c r="V16" s="10">
        <f t="shared" si="4"/>
        <v>1110</v>
      </c>
      <c r="W16" s="10">
        <f t="shared" si="4"/>
        <v>60</v>
      </c>
      <c r="X16" s="10">
        <f t="shared" si="4"/>
        <v>614</v>
      </c>
      <c r="Y16" s="10">
        <f t="shared" si="4"/>
        <v>271</v>
      </c>
      <c r="Z16" s="10">
        <f t="shared" si="4"/>
        <v>63</v>
      </c>
      <c r="AA16" s="10">
        <f t="shared" si="4"/>
        <v>1383</v>
      </c>
      <c r="AB16" s="10">
        <f t="shared" si="4"/>
        <v>1250</v>
      </c>
      <c r="AC16" s="10">
        <f t="shared" si="4"/>
        <v>678</v>
      </c>
      <c r="AD16" s="10">
        <f t="shared" si="4"/>
        <v>392</v>
      </c>
      <c r="AE16" s="10">
        <f t="shared" si="4"/>
        <v>449</v>
      </c>
      <c r="AF16" s="10">
        <f t="shared" si="4"/>
        <v>322</v>
      </c>
      <c r="AG16" s="10">
        <f t="shared" si="4"/>
        <v>0</v>
      </c>
      <c r="AH16" s="116">
        <f>SUM(D16:AG16)</f>
        <v>14882</v>
      </c>
      <c r="AI16" s="117"/>
      <c r="AJ16" s="4"/>
    </row>
    <row r="17" spans="1:35" ht="13.5" thickBot="1" x14ac:dyDescent="0.3"/>
    <row r="18" spans="1:35" ht="22.5" customHeight="1" thickBot="1" x14ac:dyDescent="0.3">
      <c r="A18" s="96" t="s">
        <v>79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</row>
    <row r="19" spans="1:35" ht="57" customHeight="1" thickBot="1" x14ac:dyDescent="0.3">
      <c r="A19" s="97" t="s">
        <v>0</v>
      </c>
      <c r="B19" s="132" t="s">
        <v>17</v>
      </c>
      <c r="C19" s="133"/>
      <c r="D19" s="11">
        <v>45962</v>
      </c>
      <c r="E19" s="11">
        <v>45963</v>
      </c>
      <c r="F19" s="11">
        <v>45964</v>
      </c>
      <c r="G19" s="11">
        <v>45965</v>
      </c>
      <c r="H19" s="11">
        <v>45966</v>
      </c>
      <c r="I19" s="11">
        <v>45967</v>
      </c>
      <c r="J19" s="11">
        <v>45968</v>
      </c>
      <c r="K19" s="11">
        <v>45969</v>
      </c>
      <c r="L19" s="11">
        <v>45970</v>
      </c>
      <c r="M19" s="11">
        <v>45971</v>
      </c>
      <c r="N19" s="11">
        <v>45972</v>
      </c>
      <c r="O19" s="11">
        <v>45973</v>
      </c>
      <c r="P19" s="11">
        <v>45974</v>
      </c>
      <c r="Q19" s="11">
        <v>45975</v>
      </c>
      <c r="R19" s="11">
        <v>45976</v>
      </c>
      <c r="S19" s="11">
        <v>45977</v>
      </c>
      <c r="T19" s="11">
        <v>45978</v>
      </c>
      <c r="U19" s="11">
        <v>45979</v>
      </c>
      <c r="V19" s="11">
        <v>45980</v>
      </c>
      <c r="W19" s="11">
        <v>45981</v>
      </c>
      <c r="X19" s="11">
        <v>45982</v>
      </c>
      <c r="Y19" s="11">
        <v>45983</v>
      </c>
      <c r="Z19" s="11">
        <v>45984</v>
      </c>
      <c r="AA19" s="11">
        <v>45985</v>
      </c>
      <c r="AB19" s="11">
        <v>45986</v>
      </c>
      <c r="AC19" s="11">
        <v>45987</v>
      </c>
      <c r="AD19" s="11">
        <v>45988</v>
      </c>
      <c r="AE19" s="11">
        <v>45989</v>
      </c>
      <c r="AF19" s="11">
        <v>45990</v>
      </c>
      <c r="AG19" s="11">
        <v>45991</v>
      </c>
      <c r="AH19" s="101" t="s">
        <v>28</v>
      </c>
      <c r="AI19" s="103" t="s">
        <v>27</v>
      </c>
    </row>
    <row r="20" spans="1:35" ht="63.75" thickBot="1" x14ac:dyDescent="0.3">
      <c r="A20" s="98"/>
      <c r="B20" s="146"/>
      <c r="C20" s="147"/>
      <c r="D20" s="12" t="s">
        <v>8</v>
      </c>
      <c r="E20" s="12" t="s">
        <v>2</v>
      </c>
      <c r="F20" s="12" t="s">
        <v>3</v>
      </c>
      <c r="G20" s="12" t="s">
        <v>4</v>
      </c>
      <c r="H20" s="12" t="s">
        <v>5</v>
      </c>
      <c r="I20" s="12" t="s">
        <v>6</v>
      </c>
      <c r="J20" s="12" t="s">
        <v>7</v>
      </c>
      <c r="K20" s="12" t="s">
        <v>8</v>
      </c>
      <c r="L20" s="12" t="s">
        <v>2</v>
      </c>
      <c r="M20" s="12" t="s">
        <v>3</v>
      </c>
      <c r="N20" s="12" t="s">
        <v>4</v>
      </c>
      <c r="O20" s="12" t="s">
        <v>5</v>
      </c>
      <c r="P20" s="12" t="s">
        <v>6</v>
      </c>
      <c r="Q20" s="12" t="s">
        <v>7</v>
      </c>
      <c r="R20" s="12" t="s">
        <v>8</v>
      </c>
      <c r="S20" s="12" t="s">
        <v>2</v>
      </c>
      <c r="T20" s="12" t="s">
        <v>3</v>
      </c>
      <c r="U20" s="12" t="s">
        <v>4</v>
      </c>
      <c r="V20" s="12" t="s">
        <v>5</v>
      </c>
      <c r="W20" s="12" t="s">
        <v>6</v>
      </c>
      <c r="X20" s="12" t="s">
        <v>7</v>
      </c>
      <c r="Y20" s="12" t="s">
        <v>8</v>
      </c>
      <c r="Z20" s="12" t="s">
        <v>2</v>
      </c>
      <c r="AA20" s="12" t="s">
        <v>3</v>
      </c>
      <c r="AB20" s="12" t="s">
        <v>4</v>
      </c>
      <c r="AC20" s="12" t="s">
        <v>5</v>
      </c>
      <c r="AD20" s="12" t="s">
        <v>6</v>
      </c>
      <c r="AE20" s="12" t="s">
        <v>7</v>
      </c>
      <c r="AF20" s="12" t="s">
        <v>8</v>
      </c>
      <c r="AG20" s="12" t="s">
        <v>2</v>
      </c>
      <c r="AH20" s="102"/>
      <c r="AI20" s="104"/>
    </row>
    <row r="21" spans="1:35" x14ac:dyDescent="0.25">
      <c r="A21" s="106" t="s">
        <v>39</v>
      </c>
      <c r="B21" s="124" t="s">
        <v>18</v>
      </c>
      <c r="C21" s="49" t="s">
        <v>48</v>
      </c>
      <c r="D21" s="7" t="s">
        <v>9</v>
      </c>
      <c r="E21" s="7" t="s">
        <v>9</v>
      </c>
      <c r="F21" s="7">
        <v>19</v>
      </c>
      <c r="G21" s="7">
        <v>27</v>
      </c>
      <c r="H21" s="7">
        <v>12</v>
      </c>
      <c r="I21" s="7">
        <v>9</v>
      </c>
      <c r="J21" s="7">
        <v>12</v>
      </c>
      <c r="K21" s="7" t="s">
        <v>9</v>
      </c>
      <c r="L21" s="7" t="s">
        <v>9</v>
      </c>
      <c r="M21" s="7">
        <v>3</v>
      </c>
      <c r="N21" s="7">
        <v>0</v>
      </c>
      <c r="O21" s="7">
        <v>12</v>
      </c>
      <c r="P21" s="7">
        <v>0</v>
      </c>
      <c r="Q21" s="20">
        <v>6</v>
      </c>
      <c r="R21" s="7" t="s">
        <v>9</v>
      </c>
      <c r="S21" s="7" t="s">
        <v>9</v>
      </c>
      <c r="T21" s="7">
        <v>0</v>
      </c>
      <c r="U21" s="7">
        <v>12</v>
      </c>
      <c r="V21" s="7">
        <v>23</v>
      </c>
      <c r="W21" s="7" t="s">
        <v>9</v>
      </c>
      <c r="X21" s="7">
        <v>18</v>
      </c>
      <c r="Y21" s="7" t="s">
        <v>9</v>
      </c>
      <c r="Z21" s="7" t="s">
        <v>9</v>
      </c>
      <c r="AA21" s="7">
        <v>16</v>
      </c>
      <c r="AB21" s="7">
        <v>36</v>
      </c>
      <c r="AC21" s="7">
        <v>7</v>
      </c>
      <c r="AD21" s="7">
        <v>16</v>
      </c>
      <c r="AE21" s="7">
        <v>3</v>
      </c>
      <c r="AF21" s="7" t="s">
        <v>9</v>
      </c>
      <c r="AG21" s="7" t="s">
        <v>9</v>
      </c>
      <c r="AH21" s="54">
        <f t="shared" ref="AH21:AH26" si="5">SUM(D21:AG21)</f>
        <v>231</v>
      </c>
      <c r="AI21" s="154">
        <f t="shared" ref="AI21" si="6">SUM(AH21:AH26)</f>
        <v>904</v>
      </c>
    </row>
    <row r="22" spans="1:35" x14ac:dyDescent="0.25">
      <c r="A22" s="72"/>
      <c r="B22" s="125"/>
      <c r="C22" s="50" t="s">
        <v>50</v>
      </c>
      <c r="D22" s="14" t="s">
        <v>9</v>
      </c>
      <c r="E22" s="14" t="s">
        <v>9</v>
      </c>
      <c r="F22" s="14">
        <v>16</v>
      </c>
      <c r="G22" s="14">
        <v>12</v>
      </c>
      <c r="H22" s="14">
        <v>21</v>
      </c>
      <c r="I22" s="14">
        <v>15</v>
      </c>
      <c r="J22" s="14">
        <v>15</v>
      </c>
      <c r="K22" s="14" t="s">
        <v>9</v>
      </c>
      <c r="L22" s="14" t="s">
        <v>9</v>
      </c>
      <c r="M22" s="14">
        <v>18</v>
      </c>
      <c r="N22" s="14">
        <v>12</v>
      </c>
      <c r="O22" s="14">
        <v>19</v>
      </c>
      <c r="P22" s="14">
        <v>21</v>
      </c>
      <c r="Q22" s="22">
        <v>18</v>
      </c>
      <c r="R22" s="14" t="s">
        <v>9</v>
      </c>
      <c r="S22" s="14" t="s">
        <v>9</v>
      </c>
      <c r="T22" s="14">
        <v>26</v>
      </c>
      <c r="U22" s="14">
        <v>18</v>
      </c>
      <c r="V22" s="14">
        <v>19</v>
      </c>
      <c r="W22" s="14" t="s">
        <v>9</v>
      </c>
      <c r="X22" s="14">
        <v>14</v>
      </c>
      <c r="Y22" s="14" t="s">
        <v>9</v>
      </c>
      <c r="Z22" s="14" t="s">
        <v>9</v>
      </c>
      <c r="AA22" s="14">
        <v>23</v>
      </c>
      <c r="AB22" s="14">
        <v>11</v>
      </c>
      <c r="AC22" s="14">
        <v>16</v>
      </c>
      <c r="AD22" s="14">
        <v>14</v>
      </c>
      <c r="AE22" s="14">
        <v>18</v>
      </c>
      <c r="AF22" s="14" t="s">
        <v>9</v>
      </c>
      <c r="AG22" s="14" t="s">
        <v>9</v>
      </c>
      <c r="AH22" s="55">
        <f t="shared" si="5"/>
        <v>326</v>
      </c>
      <c r="AI22" s="151"/>
    </row>
    <row r="23" spans="1:35" x14ac:dyDescent="0.25">
      <c r="A23" s="72"/>
      <c r="B23" s="125"/>
      <c r="C23" s="50" t="s">
        <v>49</v>
      </c>
      <c r="D23" s="14" t="s">
        <v>9</v>
      </c>
      <c r="E23" s="14" t="s">
        <v>9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9</v>
      </c>
      <c r="L23" s="14" t="s">
        <v>9</v>
      </c>
      <c r="M23" s="14">
        <v>0</v>
      </c>
      <c r="N23" s="14">
        <v>0</v>
      </c>
      <c r="O23" s="14">
        <v>0</v>
      </c>
      <c r="P23" s="14">
        <v>0</v>
      </c>
      <c r="Q23" s="22">
        <v>0</v>
      </c>
      <c r="R23" s="14" t="s">
        <v>9</v>
      </c>
      <c r="S23" s="14" t="s">
        <v>9</v>
      </c>
      <c r="T23" s="14">
        <v>0</v>
      </c>
      <c r="U23" s="14">
        <v>0</v>
      </c>
      <c r="V23" s="14">
        <v>0</v>
      </c>
      <c r="W23" s="14" t="s">
        <v>9</v>
      </c>
      <c r="X23" s="14">
        <v>0</v>
      </c>
      <c r="Y23" s="14" t="s">
        <v>9</v>
      </c>
      <c r="Z23" s="14" t="s">
        <v>9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 t="s">
        <v>9</v>
      </c>
      <c r="AG23" s="14" t="s">
        <v>9</v>
      </c>
      <c r="AH23" s="55">
        <f t="shared" si="5"/>
        <v>0</v>
      </c>
      <c r="AI23" s="151"/>
    </row>
    <row r="24" spans="1:35" x14ac:dyDescent="0.25">
      <c r="A24" s="72"/>
      <c r="B24" s="126"/>
      <c r="C24" s="50" t="s">
        <v>51</v>
      </c>
      <c r="D24" s="14" t="s">
        <v>9</v>
      </c>
      <c r="E24" s="14" t="s">
        <v>9</v>
      </c>
      <c r="F24" s="14">
        <v>4</v>
      </c>
      <c r="G24" s="14">
        <v>7</v>
      </c>
      <c r="H24" s="14">
        <v>4</v>
      </c>
      <c r="I24" s="14">
        <v>5</v>
      </c>
      <c r="J24" s="14">
        <v>3</v>
      </c>
      <c r="K24" s="14" t="s">
        <v>9</v>
      </c>
      <c r="L24" s="14" t="s">
        <v>9</v>
      </c>
      <c r="M24" s="14">
        <v>3</v>
      </c>
      <c r="N24" s="14">
        <v>1</v>
      </c>
      <c r="O24" s="14">
        <v>4</v>
      </c>
      <c r="P24" s="14">
        <v>0</v>
      </c>
      <c r="Q24" s="22">
        <v>8</v>
      </c>
      <c r="R24" s="14" t="s">
        <v>9</v>
      </c>
      <c r="S24" s="14" t="s">
        <v>9</v>
      </c>
      <c r="T24" s="14">
        <v>5</v>
      </c>
      <c r="U24" s="14">
        <v>3</v>
      </c>
      <c r="V24" s="14">
        <v>6</v>
      </c>
      <c r="W24" s="14" t="s">
        <v>9</v>
      </c>
      <c r="X24" s="14">
        <v>1</v>
      </c>
      <c r="Y24" s="14" t="s">
        <v>9</v>
      </c>
      <c r="Z24" s="14" t="s">
        <v>9</v>
      </c>
      <c r="AA24" s="14">
        <v>2</v>
      </c>
      <c r="AB24" s="14">
        <v>3</v>
      </c>
      <c r="AC24" s="14">
        <v>4</v>
      </c>
      <c r="AD24" s="14">
        <v>4</v>
      </c>
      <c r="AE24" s="14">
        <v>0</v>
      </c>
      <c r="AF24" s="14" t="s">
        <v>9</v>
      </c>
      <c r="AG24" s="14" t="s">
        <v>9</v>
      </c>
      <c r="AH24" s="55">
        <f t="shared" si="5"/>
        <v>67</v>
      </c>
      <c r="AI24" s="151"/>
    </row>
    <row r="25" spans="1:35" x14ac:dyDescent="0.25">
      <c r="A25" s="72"/>
      <c r="B25" s="127" t="s">
        <v>45</v>
      </c>
      <c r="C25" s="51" t="s">
        <v>46</v>
      </c>
      <c r="D25" s="3" t="s">
        <v>9</v>
      </c>
      <c r="E25" s="3" t="s">
        <v>9</v>
      </c>
      <c r="F25" s="3">
        <v>9</v>
      </c>
      <c r="G25" s="3">
        <v>56</v>
      </c>
      <c r="H25" s="3">
        <v>20</v>
      </c>
      <c r="I25" s="3">
        <v>9</v>
      </c>
      <c r="J25" s="3">
        <v>10</v>
      </c>
      <c r="K25" s="3" t="s">
        <v>9</v>
      </c>
      <c r="L25" s="3" t="s">
        <v>9</v>
      </c>
      <c r="M25" s="3">
        <v>16</v>
      </c>
      <c r="N25" s="3">
        <v>5</v>
      </c>
      <c r="O25" s="3">
        <v>16</v>
      </c>
      <c r="P25" s="3">
        <v>2</v>
      </c>
      <c r="Q25" s="17">
        <v>17</v>
      </c>
      <c r="R25" s="3" t="s">
        <v>9</v>
      </c>
      <c r="S25" s="3" t="s">
        <v>9</v>
      </c>
      <c r="T25" s="3">
        <v>11</v>
      </c>
      <c r="U25" s="3">
        <v>11</v>
      </c>
      <c r="V25" s="3">
        <v>15</v>
      </c>
      <c r="W25" s="3" t="s">
        <v>9</v>
      </c>
      <c r="X25" s="3">
        <v>12</v>
      </c>
      <c r="Y25" s="3" t="s">
        <v>9</v>
      </c>
      <c r="Z25" s="3" t="s">
        <v>9</v>
      </c>
      <c r="AA25" s="3">
        <v>8</v>
      </c>
      <c r="AB25" s="3">
        <v>41</v>
      </c>
      <c r="AC25" s="3">
        <v>8</v>
      </c>
      <c r="AD25" s="3">
        <v>4</v>
      </c>
      <c r="AE25" s="3">
        <v>2</v>
      </c>
      <c r="AF25" s="3" t="s">
        <v>9</v>
      </c>
      <c r="AG25" s="3" t="s">
        <v>9</v>
      </c>
      <c r="AH25" s="55">
        <f t="shared" si="5"/>
        <v>272</v>
      </c>
      <c r="AI25" s="152"/>
    </row>
    <row r="26" spans="1:35" ht="15" customHeight="1" thickBot="1" x14ac:dyDescent="0.3">
      <c r="A26" s="107"/>
      <c r="B26" s="128"/>
      <c r="C26" s="52" t="s">
        <v>47</v>
      </c>
      <c r="D26" s="8" t="s">
        <v>9</v>
      </c>
      <c r="E26" s="8" t="s">
        <v>9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 t="s">
        <v>9</v>
      </c>
      <c r="L26" s="8" t="s">
        <v>9</v>
      </c>
      <c r="M26" s="8">
        <v>0</v>
      </c>
      <c r="N26" s="8">
        <v>1</v>
      </c>
      <c r="O26" s="8">
        <v>0</v>
      </c>
      <c r="P26" s="8">
        <v>0</v>
      </c>
      <c r="Q26" s="21">
        <v>0</v>
      </c>
      <c r="R26" s="8" t="s">
        <v>9</v>
      </c>
      <c r="S26" s="8" t="s">
        <v>9</v>
      </c>
      <c r="T26" s="8">
        <v>0</v>
      </c>
      <c r="U26" s="8">
        <v>0</v>
      </c>
      <c r="V26" s="8">
        <v>0</v>
      </c>
      <c r="W26" s="8" t="s">
        <v>9</v>
      </c>
      <c r="X26" s="8">
        <v>1</v>
      </c>
      <c r="Y26" s="8" t="s">
        <v>9</v>
      </c>
      <c r="Z26" s="8" t="s">
        <v>9</v>
      </c>
      <c r="AA26" s="8">
        <v>0</v>
      </c>
      <c r="AB26" s="8">
        <v>1</v>
      </c>
      <c r="AC26" s="8">
        <v>0</v>
      </c>
      <c r="AD26" s="8">
        <v>2</v>
      </c>
      <c r="AE26" s="8">
        <v>3</v>
      </c>
      <c r="AF26" s="8" t="s">
        <v>9</v>
      </c>
      <c r="AG26" s="8" t="s">
        <v>9</v>
      </c>
      <c r="AH26" s="56">
        <f t="shared" si="5"/>
        <v>8</v>
      </c>
      <c r="AI26" s="153"/>
    </row>
    <row r="27" spans="1:35" x14ac:dyDescent="0.25">
      <c r="A27" s="142" t="s">
        <v>32</v>
      </c>
      <c r="B27" s="124" t="s">
        <v>18</v>
      </c>
      <c r="C27" s="49" t="s">
        <v>48</v>
      </c>
      <c r="D27" s="7" t="s">
        <v>9</v>
      </c>
      <c r="E27" s="7">
        <v>6</v>
      </c>
      <c r="F27" s="7" t="s">
        <v>9</v>
      </c>
      <c r="G27" s="7">
        <v>19</v>
      </c>
      <c r="H27" s="7">
        <v>8</v>
      </c>
      <c r="I27" s="7">
        <v>3</v>
      </c>
      <c r="J27" s="7" t="s">
        <v>37</v>
      </c>
      <c r="K27" s="7">
        <v>6</v>
      </c>
      <c r="L27" s="7" t="s">
        <v>9</v>
      </c>
      <c r="M27" s="7">
        <v>4</v>
      </c>
      <c r="N27" s="7">
        <v>14</v>
      </c>
      <c r="O27" s="7">
        <v>11</v>
      </c>
      <c r="P27" s="7">
        <v>6</v>
      </c>
      <c r="Q27" s="7">
        <v>12</v>
      </c>
      <c r="R27" s="7" t="s">
        <v>9</v>
      </c>
      <c r="S27" s="7" t="s">
        <v>9</v>
      </c>
      <c r="T27" s="7">
        <v>2</v>
      </c>
      <c r="U27" s="7">
        <v>4</v>
      </c>
      <c r="V27" s="7">
        <v>7</v>
      </c>
      <c r="W27" s="7" t="s">
        <v>9</v>
      </c>
      <c r="X27" s="7">
        <v>12</v>
      </c>
      <c r="Y27" s="7">
        <v>15</v>
      </c>
      <c r="Z27" s="7" t="s">
        <v>9</v>
      </c>
      <c r="AA27" s="7">
        <v>25</v>
      </c>
      <c r="AB27" s="7">
        <v>13</v>
      </c>
      <c r="AC27" s="7">
        <v>9</v>
      </c>
      <c r="AD27" s="7">
        <v>10</v>
      </c>
      <c r="AE27" s="7">
        <v>9</v>
      </c>
      <c r="AF27" s="7" t="s">
        <v>9</v>
      </c>
      <c r="AG27" s="7" t="s">
        <v>9</v>
      </c>
      <c r="AH27" s="54">
        <f t="shared" ref="AH27:AH32" si="7">SUM(D27:AG27)</f>
        <v>195</v>
      </c>
      <c r="AI27" s="154">
        <f t="shared" ref="AI27" si="8">SUM(AH27:AH32)</f>
        <v>674</v>
      </c>
    </row>
    <row r="28" spans="1:35" x14ac:dyDescent="0.25">
      <c r="A28" s="143"/>
      <c r="B28" s="125"/>
      <c r="C28" s="50" t="s">
        <v>50</v>
      </c>
      <c r="D28" s="14" t="s">
        <v>9</v>
      </c>
      <c r="E28" s="14">
        <v>23</v>
      </c>
      <c r="F28" s="14" t="s">
        <v>9</v>
      </c>
      <c r="G28" s="14">
        <v>9</v>
      </c>
      <c r="H28" s="14">
        <v>11</v>
      </c>
      <c r="I28" s="14">
        <v>8</v>
      </c>
      <c r="J28" s="14" t="s">
        <v>37</v>
      </c>
      <c r="K28" s="14">
        <v>16</v>
      </c>
      <c r="L28" s="14" t="s">
        <v>9</v>
      </c>
      <c r="M28" s="14">
        <v>15</v>
      </c>
      <c r="N28" s="14">
        <v>10</v>
      </c>
      <c r="O28" s="14">
        <v>9</v>
      </c>
      <c r="P28" s="14">
        <v>8</v>
      </c>
      <c r="Q28" s="14">
        <v>20</v>
      </c>
      <c r="R28" s="14" t="s">
        <v>9</v>
      </c>
      <c r="S28" s="14" t="s">
        <v>9</v>
      </c>
      <c r="T28" s="14">
        <v>13</v>
      </c>
      <c r="U28" s="14">
        <v>8</v>
      </c>
      <c r="V28" s="14">
        <v>12</v>
      </c>
      <c r="W28" s="14" t="s">
        <v>9</v>
      </c>
      <c r="X28" s="14">
        <v>15</v>
      </c>
      <c r="Y28" s="14">
        <v>15</v>
      </c>
      <c r="Z28" s="14" t="s">
        <v>9</v>
      </c>
      <c r="AA28" s="14">
        <v>17</v>
      </c>
      <c r="AB28" s="14">
        <v>7</v>
      </c>
      <c r="AC28" s="14">
        <v>13</v>
      </c>
      <c r="AD28" s="14">
        <v>6</v>
      </c>
      <c r="AE28" s="14">
        <v>12</v>
      </c>
      <c r="AF28" s="14" t="s">
        <v>9</v>
      </c>
      <c r="AG28" s="14" t="s">
        <v>9</v>
      </c>
      <c r="AH28" s="55">
        <f t="shared" si="7"/>
        <v>247</v>
      </c>
      <c r="AI28" s="151"/>
    </row>
    <row r="29" spans="1:35" x14ac:dyDescent="0.25">
      <c r="A29" s="143"/>
      <c r="B29" s="125"/>
      <c r="C29" s="50" t="s">
        <v>49</v>
      </c>
      <c r="D29" s="14" t="s">
        <v>9</v>
      </c>
      <c r="E29" s="14">
        <v>0</v>
      </c>
      <c r="F29" s="14" t="s">
        <v>9</v>
      </c>
      <c r="G29" s="14">
        <v>0</v>
      </c>
      <c r="H29" s="14">
        <v>0</v>
      </c>
      <c r="I29" s="14">
        <v>0</v>
      </c>
      <c r="J29" s="14" t="s">
        <v>37</v>
      </c>
      <c r="K29" s="14">
        <v>0</v>
      </c>
      <c r="L29" s="14" t="s">
        <v>9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 t="s">
        <v>9</v>
      </c>
      <c r="S29" s="14" t="s">
        <v>9</v>
      </c>
      <c r="T29" s="14">
        <v>0</v>
      </c>
      <c r="U29" s="14">
        <v>0</v>
      </c>
      <c r="V29" s="14">
        <v>0</v>
      </c>
      <c r="W29" s="14" t="s">
        <v>9</v>
      </c>
      <c r="X29" s="14">
        <v>0</v>
      </c>
      <c r="Y29" s="14">
        <v>0</v>
      </c>
      <c r="Z29" s="14" t="s">
        <v>9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 t="s">
        <v>9</v>
      </c>
      <c r="AG29" s="14" t="s">
        <v>9</v>
      </c>
      <c r="AH29" s="55">
        <f t="shared" si="7"/>
        <v>0</v>
      </c>
      <c r="AI29" s="151"/>
    </row>
    <row r="30" spans="1:35" x14ac:dyDescent="0.25">
      <c r="A30" s="143"/>
      <c r="B30" s="126"/>
      <c r="C30" s="50" t="s">
        <v>51</v>
      </c>
      <c r="D30" s="14" t="s">
        <v>9</v>
      </c>
      <c r="E30" s="14">
        <v>3</v>
      </c>
      <c r="F30" s="14" t="s">
        <v>9</v>
      </c>
      <c r="G30" s="14">
        <v>1</v>
      </c>
      <c r="H30" s="14">
        <v>2</v>
      </c>
      <c r="I30" s="14">
        <v>5</v>
      </c>
      <c r="J30" s="14" t="s">
        <v>37</v>
      </c>
      <c r="K30" s="14">
        <v>1</v>
      </c>
      <c r="L30" s="14" t="s">
        <v>9</v>
      </c>
      <c r="M30" s="14">
        <v>2</v>
      </c>
      <c r="N30" s="14">
        <v>3</v>
      </c>
      <c r="O30" s="14">
        <v>2</v>
      </c>
      <c r="P30" s="14">
        <v>3</v>
      </c>
      <c r="Q30" s="14">
        <v>1</v>
      </c>
      <c r="R30" s="14" t="s">
        <v>9</v>
      </c>
      <c r="S30" s="14" t="s">
        <v>9</v>
      </c>
      <c r="T30" s="14">
        <v>1</v>
      </c>
      <c r="U30" s="14">
        <v>3</v>
      </c>
      <c r="V30" s="14">
        <v>3</v>
      </c>
      <c r="W30" s="14" t="s">
        <v>9</v>
      </c>
      <c r="X30" s="14">
        <v>3</v>
      </c>
      <c r="Y30" s="14">
        <v>3</v>
      </c>
      <c r="Z30" s="14" t="s">
        <v>9</v>
      </c>
      <c r="AA30" s="14">
        <v>1</v>
      </c>
      <c r="AB30" s="14">
        <v>1</v>
      </c>
      <c r="AC30" s="14">
        <v>1</v>
      </c>
      <c r="AD30" s="14">
        <v>0</v>
      </c>
      <c r="AE30" s="14">
        <v>3</v>
      </c>
      <c r="AF30" s="14" t="s">
        <v>9</v>
      </c>
      <c r="AG30" s="14" t="s">
        <v>9</v>
      </c>
      <c r="AH30" s="55">
        <f t="shared" si="7"/>
        <v>42</v>
      </c>
      <c r="AI30" s="151"/>
    </row>
    <row r="31" spans="1:35" x14ac:dyDescent="0.25">
      <c r="A31" s="143"/>
      <c r="B31" s="127" t="s">
        <v>45</v>
      </c>
      <c r="C31" s="51" t="s">
        <v>46</v>
      </c>
      <c r="D31" s="3" t="s">
        <v>9</v>
      </c>
      <c r="E31" s="3">
        <v>9</v>
      </c>
      <c r="F31" s="3" t="s">
        <v>9</v>
      </c>
      <c r="G31" s="3">
        <v>7</v>
      </c>
      <c r="H31" s="3">
        <v>5</v>
      </c>
      <c r="I31" s="3">
        <v>9</v>
      </c>
      <c r="J31" s="3" t="s">
        <v>37</v>
      </c>
      <c r="K31" s="3">
        <v>5</v>
      </c>
      <c r="L31" s="3" t="s">
        <v>9</v>
      </c>
      <c r="M31" s="3">
        <v>13</v>
      </c>
      <c r="N31" s="3">
        <v>6</v>
      </c>
      <c r="O31" s="3">
        <v>11</v>
      </c>
      <c r="P31" s="3">
        <v>7</v>
      </c>
      <c r="Q31" s="3">
        <v>6</v>
      </c>
      <c r="R31" s="3" t="s">
        <v>9</v>
      </c>
      <c r="S31" s="3" t="s">
        <v>9</v>
      </c>
      <c r="T31" s="3">
        <v>3</v>
      </c>
      <c r="U31" s="3">
        <v>7</v>
      </c>
      <c r="V31" s="3">
        <v>9</v>
      </c>
      <c r="W31" s="3" t="s">
        <v>9</v>
      </c>
      <c r="X31" s="3">
        <v>17</v>
      </c>
      <c r="Y31" s="3">
        <v>14</v>
      </c>
      <c r="Z31" s="3" t="s">
        <v>9</v>
      </c>
      <c r="AA31" s="3">
        <v>8</v>
      </c>
      <c r="AB31" s="3">
        <v>10</v>
      </c>
      <c r="AC31" s="3">
        <v>13</v>
      </c>
      <c r="AD31" s="3">
        <v>8</v>
      </c>
      <c r="AE31" s="3">
        <v>6</v>
      </c>
      <c r="AF31" s="3" t="s">
        <v>9</v>
      </c>
      <c r="AG31" s="3" t="s">
        <v>9</v>
      </c>
      <c r="AH31" s="55">
        <f t="shared" si="7"/>
        <v>173</v>
      </c>
      <c r="AI31" s="152"/>
    </row>
    <row r="32" spans="1:35" ht="13.5" thickBot="1" x14ac:dyDescent="0.3">
      <c r="A32" s="144"/>
      <c r="B32" s="128"/>
      <c r="C32" s="52" t="s">
        <v>47</v>
      </c>
      <c r="D32" s="8" t="s">
        <v>9</v>
      </c>
      <c r="E32" s="8">
        <v>1</v>
      </c>
      <c r="F32" s="8" t="s">
        <v>9</v>
      </c>
      <c r="G32" s="8">
        <v>0</v>
      </c>
      <c r="H32" s="8">
        <v>2</v>
      </c>
      <c r="I32" s="8">
        <v>0</v>
      </c>
      <c r="J32" s="8" t="s">
        <v>37</v>
      </c>
      <c r="K32" s="8">
        <v>2</v>
      </c>
      <c r="L32" s="8" t="s">
        <v>9</v>
      </c>
      <c r="M32" s="8">
        <v>1</v>
      </c>
      <c r="N32" s="8">
        <v>0</v>
      </c>
      <c r="O32" s="8">
        <v>0</v>
      </c>
      <c r="P32" s="8">
        <v>1</v>
      </c>
      <c r="Q32" s="8">
        <v>2</v>
      </c>
      <c r="R32" s="8" t="s">
        <v>9</v>
      </c>
      <c r="S32" s="8" t="s">
        <v>9</v>
      </c>
      <c r="T32" s="8">
        <v>0</v>
      </c>
      <c r="U32" s="8">
        <v>1</v>
      </c>
      <c r="V32" s="8">
        <v>0</v>
      </c>
      <c r="W32" s="8" t="s">
        <v>9</v>
      </c>
      <c r="X32" s="8">
        <v>0</v>
      </c>
      <c r="Y32" s="8">
        <v>1</v>
      </c>
      <c r="Z32" s="8" t="s">
        <v>9</v>
      </c>
      <c r="AA32" s="8">
        <v>4</v>
      </c>
      <c r="AB32" s="8">
        <v>1</v>
      </c>
      <c r="AC32" s="8">
        <v>1</v>
      </c>
      <c r="AD32" s="8">
        <v>0</v>
      </c>
      <c r="AE32" s="8">
        <v>0</v>
      </c>
      <c r="AF32" s="8" t="s">
        <v>9</v>
      </c>
      <c r="AG32" s="8" t="s">
        <v>9</v>
      </c>
      <c r="AH32" s="56">
        <f t="shared" si="7"/>
        <v>17</v>
      </c>
      <c r="AI32" s="153"/>
    </row>
    <row r="33" spans="1:35" x14ac:dyDescent="0.25">
      <c r="A33" s="124" t="s">
        <v>52</v>
      </c>
      <c r="B33" s="124" t="s">
        <v>18</v>
      </c>
      <c r="C33" s="49" t="s">
        <v>48</v>
      </c>
      <c r="D33" s="7">
        <v>12</v>
      </c>
      <c r="E33" s="7" t="s">
        <v>9</v>
      </c>
      <c r="F33" s="7">
        <v>18</v>
      </c>
      <c r="G33" s="7">
        <v>10</v>
      </c>
      <c r="H33" s="7">
        <v>6</v>
      </c>
      <c r="I33" s="7">
        <v>14</v>
      </c>
      <c r="J33" s="7">
        <v>4</v>
      </c>
      <c r="K33" s="7" t="s">
        <v>9</v>
      </c>
      <c r="L33" s="7">
        <v>0</v>
      </c>
      <c r="M33" s="7" t="s">
        <v>9</v>
      </c>
      <c r="N33" s="7">
        <v>0</v>
      </c>
      <c r="O33" s="7">
        <v>13</v>
      </c>
      <c r="P33" s="7">
        <v>0</v>
      </c>
      <c r="Q33" s="7">
        <v>0</v>
      </c>
      <c r="R33" s="7" t="s">
        <v>9</v>
      </c>
      <c r="S33" s="7" t="s">
        <v>9</v>
      </c>
      <c r="T33" s="7">
        <v>8</v>
      </c>
      <c r="U33" s="7">
        <v>4</v>
      </c>
      <c r="V33" s="7">
        <v>1</v>
      </c>
      <c r="W33" s="7" t="s">
        <v>9</v>
      </c>
      <c r="X33" s="7">
        <v>35</v>
      </c>
      <c r="Y33" s="7" t="s">
        <v>9</v>
      </c>
      <c r="Z33" s="7" t="s">
        <v>9</v>
      </c>
      <c r="AA33" s="7">
        <v>14</v>
      </c>
      <c r="AB33" s="7">
        <v>28</v>
      </c>
      <c r="AC33" s="7">
        <v>9</v>
      </c>
      <c r="AD33" s="7">
        <v>0</v>
      </c>
      <c r="AE33" s="7">
        <v>16</v>
      </c>
      <c r="AF33" s="7">
        <v>2</v>
      </c>
      <c r="AG33" s="7" t="s">
        <v>9</v>
      </c>
      <c r="AH33" s="54">
        <f t="shared" ref="AH33:AH38" si="9">SUM(D33:AG33)</f>
        <v>194</v>
      </c>
      <c r="AI33" s="154">
        <f>SUM(AH33:AH38)</f>
        <v>462</v>
      </c>
    </row>
    <row r="34" spans="1:35" x14ac:dyDescent="0.25">
      <c r="A34" s="125"/>
      <c r="B34" s="125"/>
      <c r="C34" s="50" t="s">
        <v>50</v>
      </c>
      <c r="D34" s="14">
        <v>2</v>
      </c>
      <c r="E34" s="14" t="s">
        <v>9</v>
      </c>
      <c r="F34" s="14">
        <v>6</v>
      </c>
      <c r="G34" s="14">
        <v>3</v>
      </c>
      <c r="H34" s="14">
        <v>4</v>
      </c>
      <c r="I34" s="14">
        <v>7</v>
      </c>
      <c r="J34" s="14">
        <v>3</v>
      </c>
      <c r="K34" s="14" t="s">
        <v>9</v>
      </c>
      <c r="L34" s="14">
        <v>24</v>
      </c>
      <c r="M34" s="14" t="s">
        <v>9</v>
      </c>
      <c r="N34" s="14">
        <v>5</v>
      </c>
      <c r="O34" s="14">
        <v>3</v>
      </c>
      <c r="P34" s="14">
        <v>2</v>
      </c>
      <c r="Q34" s="14">
        <v>3</v>
      </c>
      <c r="R34" s="14" t="s">
        <v>9</v>
      </c>
      <c r="S34" s="14" t="s">
        <v>9</v>
      </c>
      <c r="T34" s="14">
        <v>3</v>
      </c>
      <c r="U34" s="14">
        <v>6</v>
      </c>
      <c r="V34" s="14">
        <v>1</v>
      </c>
      <c r="W34" s="14" t="s">
        <v>9</v>
      </c>
      <c r="X34" s="14">
        <v>3</v>
      </c>
      <c r="Y34" s="14" t="s">
        <v>9</v>
      </c>
      <c r="Z34" s="14" t="s">
        <v>9</v>
      </c>
      <c r="AA34" s="14">
        <v>2</v>
      </c>
      <c r="AB34" s="14">
        <v>9</v>
      </c>
      <c r="AC34" s="14">
        <v>3</v>
      </c>
      <c r="AD34" s="14">
        <v>2</v>
      </c>
      <c r="AE34" s="14">
        <v>4</v>
      </c>
      <c r="AF34" s="14">
        <v>10</v>
      </c>
      <c r="AG34" s="14" t="s">
        <v>9</v>
      </c>
      <c r="AH34" s="55">
        <f t="shared" si="9"/>
        <v>105</v>
      </c>
      <c r="AI34" s="151"/>
    </row>
    <row r="35" spans="1:35" x14ac:dyDescent="0.25">
      <c r="A35" s="125"/>
      <c r="B35" s="125"/>
      <c r="C35" s="50" t="s">
        <v>49</v>
      </c>
      <c r="D35" s="14">
        <v>0</v>
      </c>
      <c r="E35" s="14" t="s">
        <v>9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9</v>
      </c>
      <c r="L35" s="14">
        <v>0</v>
      </c>
      <c r="M35" s="14" t="s">
        <v>9</v>
      </c>
      <c r="N35" s="14">
        <v>0</v>
      </c>
      <c r="O35" s="14">
        <v>0</v>
      </c>
      <c r="P35" s="14">
        <v>0</v>
      </c>
      <c r="Q35" s="14">
        <v>0</v>
      </c>
      <c r="R35" s="14" t="s">
        <v>9</v>
      </c>
      <c r="S35" s="14" t="s">
        <v>9</v>
      </c>
      <c r="T35" s="14">
        <v>0</v>
      </c>
      <c r="U35" s="14">
        <v>0</v>
      </c>
      <c r="V35" s="14">
        <v>0</v>
      </c>
      <c r="W35" s="14" t="s">
        <v>9</v>
      </c>
      <c r="X35" s="14">
        <v>0</v>
      </c>
      <c r="Y35" s="14" t="s">
        <v>9</v>
      </c>
      <c r="Z35" s="14" t="s">
        <v>9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 t="s">
        <v>9</v>
      </c>
      <c r="AH35" s="55">
        <f t="shared" si="9"/>
        <v>0</v>
      </c>
      <c r="AI35" s="151"/>
    </row>
    <row r="36" spans="1:35" x14ac:dyDescent="0.25">
      <c r="A36" s="125"/>
      <c r="B36" s="126"/>
      <c r="C36" s="50" t="s">
        <v>51</v>
      </c>
      <c r="D36" s="14">
        <v>1</v>
      </c>
      <c r="E36" s="14" t="s">
        <v>9</v>
      </c>
      <c r="F36" s="14">
        <v>0</v>
      </c>
      <c r="G36" s="14">
        <v>1</v>
      </c>
      <c r="H36" s="14">
        <v>3</v>
      </c>
      <c r="I36" s="14">
        <v>1</v>
      </c>
      <c r="J36" s="14">
        <v>0</v>
      </c>
      <c r="K36" s="14" t="s">
        <v>9</v>
      </c>
      <c r="L36" s="14">
        <v>5</v>
      </c>
      <c r="M36" s="14" t="s">
        <v>9</v>
      </c>
      <c r="N36" s="14">
        <v>3</v>
      </c>
      <c r="O36" s="14">
        <v>1</v>
      </c>
      <c r="P36" s="14">
        <v>0</v>
      </c>
      <c r="Q36" s="14">
        <v>0</v>
      </c>
      <c r="R36" s="14" t="s">
        <v>9</v>
      </c>
      <c r="S36" s="14" t="s">
        <v>9</v>
      </c>
      <c r="T36" s="14">
        <v>4</v>
      </c>
      <c r="U36" s="14">
        <v>0</v>
      </c>
      <c r="V36" s="14">
        <v>0</v>
      </c>
      <c r="W36" s="14" t="s">
        <v>9</v>
      </c>
      <c r="X36" s="14">
        <v>6</v>
      </c>
      <c r="Y36" s="14" t="s">
        <v>9</v>
      </c>
      <c r="Z36" s="14" t="s">
        <v>9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2</v>
      </c>
      <c r="AG36" s="14" t="s">
        <v>9</v>
      </c>
      <c r="AH36" s="55">
        <f t="shared" si="9"/>
        <v>27</v>
      </c>
      <c r="AI36" s="151"/>
    </row>
    <row r="37" spans="1:35" x14ac:dyDescent="0.25">
      <c r="A37" s="125"/>
      <c r="B37" s="127" t="s">
        <v>45</v>
      </c>
      <c r="C37" s="51" t="s">
        <v>46</v>
      </c>
      <c r="D37" s="3">
        <v>3</v>
      </c>
      <c r="E37" s="3" t="s">
        <v>9</v>
      </c>
      <c r="F37" s="3">
        <v>2</v>
      </c>
      <c r="G37" s="3">
        <v>13</v>
      </c>
      <c r="H37" s="3">
        <v>4</v>
      </c>
      <c r="I37" s="3">
        <v>1</v>
      </c>
      <c r="J37" s="3">
        <v>2</v>
      </c>
      <c r="K37" s="3" t="s">
        <v>9</v>
      </c>
      <c r="L37" s="3">
        <v>8</v>
      </c>
      <c r="M37" s="3" t="s">
        <v>9</v>
      </c>
      <c r="N37" s="3">
        <v>7</v>
      </c>
      <c r="O37" s="3">
        <v>2</v>
      </c>
      <c r="P37" s="3">
        <v>0</v>
      </c>
      <c r="Q37" s="3">
        <v>2</v>
      </c>
      <c r="R37" s="3" t="s">
        <v>9</v>
      </c>
      <c r="S37" s="3" t="s">
        <v>9</v>
      </c>
      <c r="T37" s="3">
        <v>11</v>
      </c>
      <c r="U37" s="3">
        <v>2</v>
      </c>
      <c r="V37" s="3">
        <v>1</v>
      </c>
      <c r="W37" s="3" t="s">
        <v>9</v>
      </c>
      <c r="X37" s="3">
        <v>23</v>
      </c>
      <c r="Y37" s="3" t="s">
        <v>9</v>
      </c>
      <c r="Z37" s="3" t="s">
        <v>9</v>
      </c>
      <c r="AA37" s="3">
        <v>3</v>
      </c>
      <c r="AB37" s="3">
        <v>25</v>
      </c>
      <c r="AC37" s="3">
        <v>0</v>
      </c>
      <c r="AD37" s="3">
        <v>1</v>
      </c>
      <c r="AE37" s="3">
        <v>5</v>
      </c>
      <c r="AF37" s="3">
        <v>7</v>
      </c>
      <c r="AG37" s="3" t="s">
        <v>9</v>
      </c>
      <c r="AH37" s="55">
        <f t="shared" si="9"/>
        <v>122</v>
      </c>
      <c r="AI37" s="152"/>
    </row>
    <row r="38" spans="1:35" ht="13.5" thickBot="1" x14ac:dyDescent="0.3">
      <c r="A38" s="128"/>
      <c r="B38" s="128"/>
      <c r="C38" s="52" t="s">
        <v>47</v>
      </c>
      <c r="D38" s="8">
        <v>0</v>
      </c>
      <c r="E38" s="8" t="s">
        <v>9</v>
      </c>
      <c r="F38" s="8">
        <v>1</v>
      </c>
      <c r="G38" s="8">
        <v>2</v>
      </c>
      <c r="H38" s="8">
        <v>1</v>
      </c>
      <c r="I38" s="8">
        <v>0</v>
      </c>
      <c r="J38" s="8">
        <v>1</v>
      </c>
      <c r="K38" s="8" t="s">
        <v>9</v>
      </c>
      <c r="L38" s="8">
        <v>1</v>
      </c>
      <c r="M38" s="8" t="s">
        <v>9</v>
      </c>
      <c r="N38" s="8">
        <v>0</v>
      </c>
      <c r="O38" s="8">
        <v>2</v>
      </c>
      <c r="P38" s="8">
        <v>0</v>
      </c>
      <c r="Q38" s="8">
        <v>1</v>
      </c>
      <c r="R38" s="8" t="s">
        <v>9</v>
      </c>
      <c r="S38" s="8" t="s">
        <v>9</v>
      </c>
      <c r="T38" s="8">
        <v>0</v>
      </c>
      <c r="U38" s="8">
        <v>0</v>
      </c>
      <c r="V38" s="8">
        <v>0</v>
      </c>
      <c r="W38" s="8" t="s">
        <v>9</v>
      </c>
      <c r="X38" s="8">
        <v>1</v>
      </c>
      <c r="Y38" s="8" t="s">
        <v>9</v>
      </c>
      <c r="Z38" s="8" t="s">
        <v>9</v>
      </c>
      <c r="AA38" s="8">
        <v>1</v>
      </c>
      <c r="AB38" s="8">
        <v>0</v>
      </c>
      <c r="AC38" s="8">
        <v>1</v>
      </c>
      <c r="AD38" s="3">
        <v>0</v>
      </c>
      <c r="AE38" s="8">
        <v>2</v>
      </c>
      <c r="AF38" s="8">
        <v>0</v>
      </c>
      <c r="AG38" s="8" t="s">
        <v>9</v>
      </c>
      <c r="AH38" s="56">
        <f t="shared" si="9"/>
        <v>14</v>
      </c>
      <c r="AI38" s="153"/>
    </row>
    <row r="39" spans="1:35" x14ac:dyDescent="0.25">
      <c r="A39" s="89" t="s">
        <v>34</v>
      </c>
      <c r="B39" s="124" t="s">
        <v>18</v>
      </c>
      <c r="C39" s="49" t="s">
        <v>48</v>
      </c>
      <c r="D39" s="7" t="s">
        <v>9</v>
      </c>
      <c r="E39" s="7" t="s">
        <v>9</v>
      </c>
      <c r="F39" s="7">
        <v>8</v>
      </c>
      <c r="G39" s="7">
        <v>16</v>
      </c>
      <c r="H39" s="7">
        <v>6</v>
      </c>
      <c r="I39" s="7">
        <v>9</v>
      </c>
      <c r="J39" s="7">
        <v>1</v>
      </c>
      <c r="K39" s="7">
        <v>4</v>
      </c>
      <c r="L39" s="7" t="s">
        <v>9</v>
      </c>
      <c r="M39" s="7">
        <v>3</v>
      </c>
      <c r="N39" s="7">
        <v>10</v>
      </c>
      <c r="O39" s="7">
        <v>6</v>
      </c>
      <c r="P39" s="7" t="s">
        <v>9</v>
      </c>
      <c r="Q39" s="7" t="s">
        <v>9</v>
      </c>
      <c r="R39" s="7" t="s">
        <v>9</v>
      </c>
      <c r="S39" s="7" t="s">
        <v>9</v>
      </c>
      <c r="T39" s="7">
        <v>1</v>
      </c>
      <c r="U39" s="7">
        <v>6</v>
      </c>
      <c r="V39" s="7">
        <v>6</v>
      </c>
      <c r="W39" s="7">
        <v>2</v>
      </c>
      <c r="X39" s="7">
        <v>17</v>
      </c>
      <c r="Y39" s="7">
        <v>14</v>
      </c>
      <c r="Z39" s="7" t="s">
        <v>9</v>
      </c>
      <c r="AA39" s="7">
        <v>7</v>
      </c>
      <c r="AB39" s="7">
        <v>25</v>
      </c>
      <c r="AC39" s="7">
        <v>22</v>
      </c>
      <c r="AD39" s="7" t="s">
        <v>30</v>
      </c>
      <c r="AE39" s="7">
        <v>1</v>
      </c>
      <c r="AF39" s="7" t="s">
        <v>9</v>
      </c>
      <c r="AG39" s="7" t="s">
        <v>9</v>
      </c>
      <c r="AH39" s="54">
        <f t="shared" ref="AH39:AH44" si="10">SUM(D39:AG39)</f>
        <v>164</v>
      </c>
      <c r="AI39" s="154">
        <f t="shared" ref="AI39" si="11">SUM(AH39:AH44)</f>
        <v>442</v>
      </c>
    </row>
    <row r="40" spans="1:35" x14ac:dyDescent="0.25">
      <c r="A40" s="121"/>
      <c r="B40" s="125"/>
      <c r="C40" s="50" t="s">
        <v>50</v>
      </c>
      <c r="D40" s="14" t="s">
        <v>9</v>
      </c>
      <c r="E40" s="14" t="s">
        <v>9</v>
      </c>
      <c r="F40" s="14">
        <v>10</v>
      </c>
      <c r="G40" s="14">
        <v>5</v>
      </c>
      <c r="H40" s="14">
        <v>4</v>
      </c>
      <c r="I40" s="14">
        <v>4</v>
      </c>
      <c r="J40" s="14">
        <v>7</v>
      </c>
      <c r="K40" s="14">
        <v>10</v>
      </c>
      <c r="L40" s="14" t="s">
        <v>9</v>
      </c>
      <c r="M40" s="14">
        <v>1</v>
      </c>
      <c r="N40" s="14">
        <v>7</v>
      </c>
      <c r="O40" s="14">
        <v>5</v>
      </c>
      <c r="P40" s="14" t="s">
        <v>9</v>
      </c>
      <c r="Q40" s="14" t="s">
        <v>9</v>
      </c>
      <c r="R40" s="14" t="s">
        <v>9</v>
      </c>
      <c r="S40" s="14" t="s">
        <v>9</v>
      </c>
      <c r="T40" s="14">
        <v>7</v>
      </c>
      <c r="U40" s="14">
        <v>7</v>
      </c>
      <c r="V40" s="14">
        <v>1</v>
      </c>
      <c r="W40" s="14">
        <v>28</v>
      </c>
      <c r="X40" s="14">
        <v>3</v>
      </c>
      <c r="Y40" s="14">
        <v>9</v>
      </c>
      <c r="Z40" s="14" t="s">
        <v>9</v>
      </c>
      <c r="AA40" s="14">
        <v>2</v>
      </c>
      <c r="AB40" s="14">
        <v>3</v>
      </c>
      <c r="AC40" s="14">
        <v>6</v>
      </c>
      <c r="AD40" s="14" t="s">
        <v>30</v>
      </c>
      <c r="AE40" s="14">
        <v>3</v>
      </c>
      <c r="AF40" s="14" t="s">
        <v>9</v>
      </c>
      <c r="AG40" s="14" t="s">
        <v>9</v>
      </c>
      <c r="AH40" s="55">
        <f t="shared" si="10"/>
        <v>122</v>
      </c>
      <c r="AI40" s="151"/>
    </row>
    <row r="41" spans="1:35" x14ac:dyDescent="0.25">
      <c r="A41" s="121"/>
      <c r="B41" s="125"/>
      <c r="C41" s="50" t="s">
        <v>49</v>
      </c>
      <c r="D41" s="14" t="s">
        <v>9</v>
      </c>
      <c r="E41" s="14" t="s">
        <v>9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 t="s">
        <v>9</v>
      </c>
      <c r="M41" s="14">
        <v>0</v>
      </c>
      <c r="N41" s="14">
        <v>0</v>
      </c>
      <c r="O41" s="14">
        <v>0</v>
      </c>
      <c r="P41" s="14" t="s">
        <v>9</v>
      </c>
      <c r="Q41" s="14" t="s">
        <v>9</v>
      </c>
      <c r="R41" s="14" t="s">
        <v>9</v>
      </c>
      <c r="S41" s="14" t="s">
        <v>9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 t="s">
        <v>9</v>
      </c>
      <c r="AA41" s="14">
        <v>0</v>
      </c>
      <c r="AB41" s="14">
        <v>0</v>
      </c>
      <c r="AC41" s="14">
        <v>0</v>
      </c>
      <c r="AD41" s="14" t="s">
        <v>30</v>
      </c>
      <c r="AE41" s="14">
        <v>0</v>
      </c>
      <c r="AF41" s="14" t="s">
        <v>9</v>
      </c>
      <c r="AG41" s="14" t="s">
        <v>9</v>
      </c>
      <c r="AH41" s="55">
        <f t="shared" si="10"/>
        <v>0</v>
      </c>
      <c r="AI41" s="151"/>
    </row>
    <row r="42" spans="1:35" x14ac:dyDescent="0.25">
      <c r="A42" s="121"/>
      <c r="B42" s="126"/>
      <c r="C42" s="50" t="s">
        <v>51</v>
      </c>
      <c r="D42" s="14" t="s">
        <v>9</v>
      </c>
      <c r="E42" s="14" t="s">
        <v>9</v>
      </c>
      <c r="F42" s="14">
        <v>2</v>
      </c>
      <c r="G42" s="14">
        <v>4</v>
      </c>
      <c r="H42" s="14">
        <v>0</v>
      </c>
      <c r="I42" s="14">
        <v>1</v>
      </c>
      <c r="J42" s="14">
        <v>3</v>
      </c>
      <c r="K42" s="3">
        <v>1</v>
      </c>
      <c r="L42" s="14" t="s">
        <v>9</v>
      </c>
      <c r="M42" s="14">
        <v>2</v>
      </c>
      <c r="N42" s="14">
        <v>1</v>
      </c>
      <c r="O42" s="14">
        <v>3</v>
      </c>
      <c r="P42" s="14" t="s">
        <v>9</v>
      </c>
      <c r="Q42" s="14" t="s">
        <v>9</v>
      </c>
      <c r="R42" s="14" t="s">
        <v>9</v>
      </c>
      <c r="S42" s="14" t="s">
        <v>9</v>
      </c>
      <c r="T42" s="14">
        <v>2</v>
      </c>
      <c r="U42" s="14">
        <v>3</v>
      </c>
      <c r="V42" s="14">
        <v>0</v>
      </c>
      <c r="W42" s="14">
        <v>0</v>
      </c>
      <c r="X42" s="14">
        <v>1</v>
      </c>
      <c r="Y42" s="14">
        <v>1</v>
      </c>
      <c r="Z42" s="14" t="s">
        <v>9</v>
      </c>
      <c r="AA42" s="14">
        <v>1</v>
      </c>
      <c r="AB42" s="14">
        <v>1</v>
      </c>
      <c r="AC42" s="14">
        <v>2</v>
      </c>
      <c r="AD42" s="14" t="s">
        <v>30</v>
      </c>
      <c r="AE42" s="14">
        <v>1</v>
      </c>
      <c r="AF42" s="14" t="s">
        <v>9</v>
      </c>
      <c r="AG42" s="14" t="s">
        <v>9</v>
      </c>
      <c r="AH42" s="55">
        <f t="shared" si="10"/>
        <v>29</v>
      </c>
      <c r="AI42" s="151"/>
    </row>
    <row r="43" spans="1:35" x14ac:dyDescent="0.25">
      <c r="A43" s="90"/>
      <c r="B43" s="127" t="s">
        <v>45</v>
      </c>
      <c r="C43" s="51" t="s">
        <v>46</v>
      </c>
      <c r="D43" s="3" t="s">
        <v>9</v>
      </c>
      <c r="E43" s="3" t="s">
        <v>9</v>
      </c>
      <c r="F43" s="3">
        <v>5</v>
      </c>
      <c r="G43" s="3">
        <v>13</v>
      </c>
      <c r="H43" s="3">
        <v>5</v>
      </c>
      <c r="I43" s="3">
        <v>4</v>
      </c>
      <c r="J43" s="3">
        <v>4</v>
      </c>
      <c r="K43" s="2">
        <v>4</v>
      </c>
      <c r="L43" s="3" t="s">
        <v>9</v>
      </c>
      <c r="M43" s="3">
        <v>4</v>
      </c>
      <c r="N43" s="3">
        <v>5</v>
      </c>
      <c r="O43" s="3">
        <v>9</v>
      </c>
      <c r="P43" s="3" t="s">
        <v>9</v>
      </c>
      <c r="Q43" s="3" t="s">
        <v>9</v>
      </c>
      <c r="R43" s="3" t="s">
        <v>9</v>
      </c>
      <c r="S43" s="3" t="s">
        <v>9</v>
      </c>
      <c r="T43" s="3">
        <v>5</v>
      </c>
      <c r="U43" s="3">
        <v>5</v>
      </c>
      <c r="V43" s="3">
        <v>2</v>
      </c>
      <c r="W43" s="3">
        <v>3</v>
      </c>
      <c r="X43" s="3">
        <v>13</v>
      </c>
      <c r="Y43" s="3">
        <v>13</v>
      </c>
      <c r="Z43" s="3" t="s">
        <v>9</v>
      </c>
      <c r="AA43" s="3">
        <v>6</v>
      </c>
      <c r="AB43" s="3">
        <v>12</v>
      </c>
      <c r="AC43" s="3">
        <v>8</v>
      </c>
      <c r="AD43" s="3" t="s">
        <v>30</v>
      </c>
      <c r="AE43" s="3">
        <v>4</v>
      </c>
      <c r="AF43" s="3" t="s">
        <v>9</v>
      </c>
      <c r="AG43" s="3" t="s">
        <v>9</v>
      </c>
      <c r="AH43" s="55">
        <f t="shared" si="10"/>
        <v>124</v>
      </c>
      <c r="AI43" s="152"/>
    </row>
    <row r="44" spans="1:35" ht="13.5" thickBot="1" x14ac:dyDescent="0.3">
      <c r="A44" s="91"/>
      <c r="B44" s="128"/>
      <c r="C44" s="52" t="s">
        <v>47</v>
      </c>
      <c r="D44" s="8" t="s">
        <v>9</v>
      </c>
      <c r="E44" s="8" t="s">
        <v>9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1</v>
      </c>
      <c r="L44" s="8" t="s">
        <v>9</v>
      </c>
      <c r="M44" s="8">
        <v>0</v>
      </c>
      <c r="N44" s="8">
        <v>0</v>
      </c>
      <c r="O44" s="8">
        <v>0</v>
      </c>
      <c r="P44" s="8" t="s">
        <v>9</v>
      </c>
      <c r="Q44" s="8" t="s">
        <v>9</v>
      </c>
      <c r="R44" s="8" t="s">
        <v>9</v>
      </c>
      <c r="S44" s="8" t="s">
        <v>9</v>
      </c>
      <c r="T44" s="8">
        <v>0</v>
      </c>
      <c r="U44" s="8">
        <v>0</v>
      </c>
      <c r="V44" s="8">
        <v>0</v>
      </c>
      <c r="W44" s="8">
        <v>1</v>
      </c>
      <c r="X44" s="8">
        <v>0</v>
      </c>
      <c r="Y44" s="8">
        <v>1</v>
      </c>
      <c r="Z44" s="8" t="s">
        <v>9</v>
      </c>
      <c r="AA44" s="8">
        <v>0</v>
      </c>
      <c r="AB44" s="8">
        <v>0</v>
      </c>
      <c r="AC44" s="8">
        <v>0</v>
      </c>
      <c r="AD44" s="8" t="s">
        <v>30</v>
      </c>
      <c r="AE44" s="8">
        <v>0</v>
      </c>
      <c r="AF44" s="8" t="s">
        <v>9</v>
      </c>
      <c r="AG44" s="8" t="s">
        <v>9</v>
      </c>
      <c r="AH44" s="56">
        <f t="shared" si="10"/>
        <v>3</v>
      </c>
      <c r="AI44" s="153"/>
    </row>
    <row r="45" spans="1:35" x14ac:dyDescent="0.25">
      <c r="A45" s="129" t="s">
        <v>65</v>
      </c>
      <c r="B45" s="124" t="s">
        <v>18</v>
      </c>
      <c r="C45" s="49" t="s">
        <v>48</v>
      </c>
      <c r="D45" s="7" t="s">
        <v>9</v>
      </c>
      <c r="E45" s="7" t="s">
        <v>9</v>
      </c>
      <c r="F45" s="7">
        <v>2</v>
      </c>
      <c r="G45" s="7">
        <v>2</v>
      </c>
      <c r="H45" s="7">
        <v>12</v>
      </c>
      <c r="I45" s="7">
        <v>2</v>
      </c>
      <c r="J45" s="7">
        <v>6</v>
      </c>
      <c r="K45" s="7">
        <v>1</v>
      </c>
      <c r="L45" s="7" t="s">
        <v>9</v>
      </c>
      <c r="M45" s="7">
        <v>0</v>
      </c>
      <c r="N45" s="7">
        <v>11</v>
      </c>
      <c r="O45" s="7">
        <v>3</v>
      </c>
      <c r="P45" s="7">
        <v>0</v>
      </c>
      <c r="Q45" s="20">
        <v>10</v>
      </c>
      <c r="R45" s="7" t="s">
        <v>9</v>
      </c>
      <c r="S45" s="7" t="s">
        <v>9</v>
      </c>
      <c r="T45" s="7">
        <v>2</v>
      </c>
      <c r="U45" s="7">
        <v>3</v>
      </c>
      <c r="V45" s="7">
        <v>14</v>
      </c>
      <c r="W45" s="7" t="s">
        <v>9</v>
      </c>
      <c r="X45" s="7">
        <v>23</v>
      </c>
      <c r="Y45" s="7" t="s">
        <v>9</v>
      </c>
      <c r="Z45" s="7">
        <v>4</v>
      </c>
      <c r="AA45" s="7" t="s">
        <v>9</v>
      </c>
      <c r="AB45" s="7">
        <v>19</v>
      </c>
      <c r="AC45" s="7">
        <v>8</v>
      </c>
      <c r="AD45" s="7">
        <v>1</v>
      </c>
      <c r="AE45" s="7">
        <v>18</v>
      </c>
      <c r="AF45" s="7">
        <v>0</v>
      </c>
      <c r="AG45" s="7" t="s">
        <v>9</v>
      </c>
      <c r="AH45" s="57">
        <f>SUM(D45:AG45)</f>
        <v>141</v>
      </c>
      <c r="AI45" s="154">
        <f>SUM(AH45:AH50)</f>
        <v>377</v>
      </c>
    </row>
    <row r="46" spans="1:35" x14ac:dyDescent="0.25">
      <c r="A46" s="126"/>
      <c r="B46" s="125"/>
      <c r="C46" s="50" t="s">
        <v>50</v>
      </c>
      <c r="D46" s="14" t="s">
        <v>9</v>
      </c>
      <c r="E46" s="14" t="s">
        <v>9</v>
      </c>
      <c r="F46" s="3">
        <v>2</v>
      </c>
      <c r="G46" s="3">
        <v>3</v>
      </c>
      <c r="H46" s="14">
        <v>3</v>
      </c>
      <c r="I46" s="14">
        <v>5</v>
      </c>
      <c r="J46" s="14">
        <v>2</v>
      </c>
      <c r="K46" s="14">
        <v>4</v>
      </c>
      <c r="L46" s="14" t="s">
        <v>9</v>
      </c>
      <c r="M46" s="3">
        <v>1</v>
      </c>
      <c r="N46" s="14">
        <v>1</v>
      </c>
      <c r="O46" s="14">
        <v>1</v>
      </c>
      <c r="P46" s="3">
        <v>5</v>
      </c>
      <c r="Q46" s="22">
        <v>2</v>
      </c>
      <c r="R46" s="14" t="s">
        <v>9</v>
      </c>
      <c r="S46" s="14" t="s">
        <v>9</v>
      </c>
      <c r="T46" s="14">
        <v>11</v>
      </c>
      <c r="U46" s="14">
        <v>3</v>
      </c>
      <c r="V46" s="14">
        <v>0</v>
      </c>
      <c r="W46" s="14" t="s">
        <v>9</v>
      </c>
      <c r="X46" s="14">
        <v>0</v>
      </c>
      <c r="Y46" s="14" t="s">
        <v>9</v>
      </c>
      <c r="Z46" s="3">
        <v>12</v>
      </c>
      <c r="AA46" s="14" t="s">
        <v>9</v>
      </c>
      <c r="AB46" s="14">
        <v>18</v>
      </c>
      <c r="AC46" s="14">
        <v>0</v>
      </c>
      <c r="AD46" s="14">
        <v>5</v>
      </c>
      <c r="AE46" s="14">
        <v>2</v>
      </c>
      <c r="AF46" s="14">
        <v>1</v>
      </c>
      <c r="AG46" s="14" t="s">
        <v>9</v>
      </c>
      <c r="AH46" s="48">
        <f>SUM(D46:AG46)</f>
        <v>81</v>
      </c>
      <c r="AI46" s="151"/>
    </row>
    <row r="47" spans="1:35" x14ac:dyDescent="0.25">
      <c r="A47" s="126"/>
      <c r="B47" s="125"/>
      <c r="C47" s="50" t="s">
        <v>49</v>
      </c>
      <c r="D47" s="14" t="s">
        <v>9</v>
      </c>
      <c r="E47" s="14" t="s">
        <v>9</v>
      </c>
      <c r="F47" s="3">
        <v>0</v>
      </c>
      <c r="G47" s="3">
        <v>0</v>
      </c>
      <c r="H47" s="14">
        <v>0</v>
      </c>
      <c r="I47" s="14">
        <v>0</v>
      </c>
      <c r="J47" s="14">
        <v>0</v>
      </c>
      <c r="K47" s="14">
        <v>0</v>
      </c>
      <c r="L47" s="14" t="s">
        <v>9</v>
      </c>
      <c r="M47" s="3">
        <v>0</v>
      </c>
      <c r="N47" s="14">
        <v>0</v>
      </c>
      <c r="O47" s="14">
        <v>0</v>
      </c>
      <c r="P47" s="3">
        <v>0</v>
      </c>
      <c r="Q47" s="22">
        <v>0</v>
      </c>
      <c r="R47" s="14" t="s">
        <v>9</v>
      </c>
      <c r="S47" s="14" t="s">
        <v>9</v>
      </c>
      <c r="T47" s="14">
        <v>0</v>
      </c>
      <c r="U47" s="14">
        <v>0</v>
      </c>
      <c r="V47" s="14">
        <v>0</v>
      </c>
      <c r="W47" s="14" t="s">
        <v>9</v>
      </c>
      <c r="X47" s="14">
        <v>0</v>
      </c>
      <c r="Y47" s="14" t="s">
        <v>9</v>
      </c>
      <c r="Z47" s="3">
        <v>0</v>
      </c>
      <c r="AA47" s="14" t="s">
        <v>9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 t="s">
        <v>9</v>
      </c>
      <c r="AH47" s="48">
        <f t="shared" ref="AH47:AH50" si="12">SUM(D47:AG47)</f>
        <v>0</v>
      </c>
      <c r="AI47" s="151"/>
    </row>
    <row r="48" spans="1:35" x14ac:dyDescent="0.25">
      <c r="A48" s="126"/>
      <c r="B48" s="126"/>
      <c r="C48" s="50" t="s">
        <v>51</v>
      </c>
      <c r="D48" s="14" t="s">
        <v>9</v>
      </c>
      <c r="E48" s="14" t="s">
        <v>9</v>
      </c>
      <c r="F48" s="3">
        <v>0</v>
      </c>
      <c r="G48" s="3">
        <v>2</v>
      </c>
      <c r="H48" s="14">
        <v>1</v>
      </c>
      <c r="I48" s="14">
        <v>3</v>
      </c>
      <c r="J48" s="14">
        <v>0</v>
      </c>
      <c r="K48" s="14">
        <v>0</v>
      </c>
      <c r="L48" s="14" t="s">
        <v>9</v>
      </c>
      <c r="M48" s="3">
        <v>2</v>
      </c>
      <c r="N48" s="14">
        <v>2</v>
      </c>
      <c r="O48" s="14">
        <v>9</v>
      </c>
      <c r="P48" s="3">
        <v>1</v>
      </c>
      <c r="Q48" s="22">
        <v>3</v>
      </c>
      <c r="R48" s="14" t="s">
        <v>9</v>
      </c>
      <c r="S48" s="14" t="s">
        <v>9</v>
      </c>
      <c r="T48" s="14">
        <v>3</v>
      </c>
      <c r="U48" s="14">
        <v>3</v>
      </c>
      <c r="V48" s="14">
        <v>3</v>
      </c>
      <c r="W48" s="14" t="s">
        <v>9</v>
      </c>
      <c r="X48" s="14">
        <v>0</v>
      </c>
      <c r="Y48" s="14" t="s">
        <v>9</v>
      </c>
      <c r="Z48" s="3">
        <v>1</v>
      </c>
      <c r="AA48" s="14" t="s">
        <v>9</v>
      </c>
      <c r="AB48" s="14">
        <v>0</v>
      </c>
      <c r="AC48" s="14">
        <v>0</v>
      </c>
      <c r="AD48" s="14">
        <v>3</v>
      </c>
      <c r="AE48" s="14">
        <v>2</v>
      </c>
      <c r="AF48" s="14">
        <v>0</v>
      </c>
      <c r="AG48" s="14" t="s">
        <v>9</v>
      </c>
      <c r="AH48" s="48">
        <f t="shared" si="12"/>
        <v>38</v>
      </c>
      <c r="AI48" s="151"/>
    </row>
    <row r="49" spans="1:35" x14ac:dyDescent="0.25">
      <c r="A49" s="130"/>
      <c r="B49" s="127" t="s">
        <v>45</v>
      </c>
      <c r="C49" s="51" t="s">
        <v>46</v>
      </c>
      <c r="D49" s="3" t="s">
        <v>9</v>
      </c>
      <c r="E49" s="3" t="s">
        <v>9</v>
      </c>
      <c r="F49" s="3">
        <v>2</v>
      </c>
      <c r="G49" s="3">
        <v>5</v>
      </c>
      <c r="H49" s="3">
        <v>5</v>
      </c>
      <c r="I49" s="3">
        <v>3</v>
      </c>
      <c r="J49" s="3">
        <v>4</v>
      </c>
      <c r="K49" s="3">
        <v>3</v>
      </c>
      <c r="L49" s="3" t="s">
        <v>9</v>
      </c>
      <c r="M49" s="3">
        <v>6</v>
      </c>
      <c r="N49" s="3">
        <v>2</v>
      </c>
      <c r="O49" s="3">
        <v>4</v>
      </c>
      <c r="P49" s="3">
        <v>0</v>
      </c>
      <c r="Q49" s="17">
        <v>10</v>
      </c>
      <c r="R49" s="3" t="s">
        <v>9</v>
      </c>
      <c r="S49" s="3" t="s">
        <v>9</v>
      </c>
      <c r="T49" s="3">
        <v>7</v>
      </c>
      <c r="U49" s="3">
        <v>5</v>
      </c>
      <c r="V49" s="3">
        <v>17</v>
      </c>
      <c r="W49" s="3" t="s">
        <v>9</v>
      </c>
      <c r="X49" s="3">
        <v>12</v>
      </c>
      <c r="Y49" s="3" t="s">
        <v>9</v>
      </c>
      <c r="Z49" s="3">
        <v>9</v>
      </c>
      <c r="AA49" s="3" t="s">
        <v>9</v>
      </c>
      <c r="AB49" s="3">
        <v>12</v>
      </c>
      <c r="AC49" s="3">
        <v>1</v>
      </c>
      <c r="AD49" s="3">
        <v>6</v>
      </c>
      <c r="AE49" s="3">
        <v>3</v>
      </c>
      <c r="AF49" s="3">
        <v>0</v>
      </c>
      <c r="AG49" s="3" t="s">
        <v>9</v>
      </c>
      <c r="AH49" s="48">
        <f t="shared" si="12"/>
        <v>116</v>
      </c>
      <c r="AI49" s="152"/>
    </row>
    <row r="50" spans="1:35" ht="13.5" thickBot="1" x14ac:dyDescent="0.3">
      <c r="A50" s="131"/>
      <c r="B50" s="128"/>
      <c r="C50" s="52" t="s">
        <v>47</v>
      </c>
      <c r="D50" s="8" t="s">
        <v>9</v>
      </c>
      <c r="E50" s="8" t="s">
        <v>9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 t="s">
        <v>9</v>
      </c>
      <c r="M50" s="8">
        <v>0</v>
      </c>
      <c r="N50" s="8">
        <v>0</v>
      </c>
      <c r="O50" s="8">
        <v>0</v>
      </c>
      <c r="P50" s="8">
        <v>0</v>
      </c>
      <c r="Q50" s="21">
        <v>0</v>
      </c>
      <c r="R50" s="8" t="s">
        <v>9</v>
      </c>
      <c r="S50" s="8" t="s">
        <v>9</v>
      </c>
      <c r="T50" s="8">
        <v>0</v>
      </c>
      <c r="U50" s="8">
        <v>0</v>
      </c>
      <c r="V50" s="8">
        <v>0</v>
      </c>
      <c r="W50" s="8" t="s">
        <v>9</v>
      </c>
      <c r="X50" s="8">
        <v>0</v>
      </c>
      <c r="Y50" s="8" t="s">
        <v>9</v>
      </c>
      <c r="Z50" s="8">
        <v>0</v>
      </c>
      <c r="AA50" s="8" t="s">
        <v>9</v>
      </c>
      <c r="AB50" s="8">
        <v>1</v>
      </c>
      <c r="AC50" s="8">
        <v>0</v>
      </c>
      <c r="AD50" s="8">
        <v>0</v>
      </c>
      <c r="AE50" s="8">
        <v>0</v>
      </c>
      <c r="AF50" s="8">
        <v>0</v>
      </c>
      <c r="AG50" s="8" t="s">
        <v>9</v>
      </c>
      <c r="AH50" s="58">
        <f t="shared" si="12"/>
        <v>1</v>
      </c>
      <c r="AI50" s="153"/>
    </row>
    <row r="51" spans="1:35" x14ac:dyDescent="0.25">
      <c r="A51" s="89" t="s">
        <v>36</v>
      </c>
      <c r="B51" s="136" t="s">
        <v>18</v>
      </c>
      <c r="C51" s="49" t="s">
        <v>48</v>
      </c>
      <c r="D51" s="7" t="s">
        <v>9</v>
      </c>
      <c r="E51" s="7" t="s">
        <v>9</v>
      </c>
      <c r="F51" s="7">
        <v>1</v>
      </c>
      <c r="G51" s="7">
        <v>3</v>
      </c>
      <c r="H51" s="7">
        <v>0</v>
      </c>
      <c r="I51" s="7">
        <v>1</v>
      </c>
      <c r="J51" s="7">
        <v>7</v>
      </c>
      <c r="K51" s="7">
        <v>7</v>
      </c>
      <c r="L51" s="7" t="s">
        <v>9</v>
      </c>
      <c r="M51" s="7">
        <v>0</v>
      </c>
      <c r="N51" s="7">
        <v>2</v>
      </c>
      <c r="O51" s="7">
        <v>0</v>
      </c>
      <c r="P51" s="7">
        <v>0</v>
      </c>
      <c r="Q51" s="7">
        <v>0</v>
      </c>
      <c r="R51" s="7" t="s">
        <v>9</v>
      </c>
      <c r="S51" s="7" t="s">
        <v>9</v>
      </c>
      <c r="T51" s="7">
        <v>0</v>
      </c>
      <c r="U51" s="7">
        <v>0</v>
      </c>
      <c r="V51" s="7">
        <v>0</v>
      </c>
      <c r="W51" s="7">
        <v>1</v>
      </c>
      <c r="X51" s="7">
        <v>0</v>
      </c>
      <c r="Y51" s="7">
        <v>0</v>
      </c>
      <c r="Z51" s="7" t="s">
        <v>9</v>
      </c>
      <c r="AA51" s="7">
        <v>2</v>
      </c>
      <c r="AB51" s="7">
        <v>2</v>
      </c>
      <c r="AC51" s="7">
        <v>0</v>
      </c>
      <c r="AD51" s="7">
        <v>1</v>
      </c>
      <c r="AE51" s="7">
        <v>1</v>
      </c>
      <c r="AF51" s="7" t="s">
        <v>9</v>
      </c>
      <c r="AG51" s="7" t="s">
        <v>9</v>
      </c>
      <c r="AH51" s="54">
        <f t="shared" ref="AH51:AH56" si="13">SUM(D51:AG51)</f>
        <v>28</v>
      </c>
      <c r="AI51" s="154">
        <f>SUM(AH51:AH56)</f>
        <v>296</v>
      </c>
    </row>
    <row r="52" spans="1:35" x14ac:dyDescent="0.25">
      <c r="A52" s="121"/>
      <c r="B52" s="137"/>
      <c r="C52" s="50" t="s">
        <v>50</v>
      </c>
      <c r="D52" s="14" t="s">
        <v>9</v>
      </c>
      <c r="E52" s="14" t="s">
        <v>9</v>
      </c>
      <c r="F52" s="14">
        <v>0</v>
      </c>
      <c r="G52" s="14">
        <v>0</v>
      </c>
      <c r="H52" s="14">
        <v>0</v>
      </c>
      <c r="I52" s="14">
        <v>0</v>
      </c>
      <c r="J52" s="14">
        <v>5</v>
      </c>
      <c r="K52" s="14">
        <v>0</v>
      </c>
      <c r="L52" s="14" t="s">
        <v>9</v>
      </c>
      <c r="M52" s="14">
        <v>2</v>
      </c>
      <c r="N52" s="14">
        <v>0</v>
      </c>
      <c r="O52" s="14">
        <v>0</v>
      </c>
      <c r="P52" s="14">
        <v>0</v>
      </c>
      <c r="Q52" s="14">
        <v>0</v>
      </c>
      <c r="R52" s="14" t="s">
        <v>9</v>
      </c>
      <c r="S52" s="14" t="s">
        <v>9</v>
      </c>
      <c r="T52" s="14">
        <v>1</v>
      </c>
      <c r="U52" s="14">
        <v>0</v>
      </c>
      <c r="V52" s="14">
        <v>0</v>
      </c>
      <c r="W52" s="14">
        <v>2</v>
      </c>
      <c r="X52" s="14">
        <v>1</v>
      </c>
      <c r="Y52" s="14">
        <v>0</v>
      </c>
      <c r="Z52" s="14" t="s">
        <v>9</v>
      </c>
      <c r="AA52" s="14">
        <v>0</v>
      </c>
      <c r="AB52" s="14">
        <v>2</v>
      </c>
      <c r="AC52" s="14">
        <v>0</v>
      </c>
      <c r="AD52" s="14">
        <v>2</v>
      </c>
      <c r="AE52" s="14">
        <v>3</v>
      </c>
      <c r="AF52" s="14" t="s">
        <v>9</v>
      </c>
      <c r="AG52" s="14" t="s">
        <v>9</v>
      </c>
      <c r="AH52" s="55">
        <f t="shared" si="13"/>
        <v>18</v>
      </c>
      <c r="AI52" s="151"/>
    </row>
    <row r="53" spans="1:35" x14ac:dyDescent="0.25">
      <c r="A53" s="121"/>
      <c r="B53" s="137"/>
      <c r="C53" s="50" t="s">
        <v>49</v>
      </c>
      <c r="D53" s="14" t="s">
        <v>9</v>
      </c>
      <c r="E53" s="14" t="s">
        <v>9</v>
      </c>
      <c r="F53" s="14">
        <v>7</v>
      </c>
      <c r="G53" s="14">
        <v>6</v>
      </c>
      <c r="H53" s="14">
        <v>2</v>
      </c>
      <c r="I53" s="14">
        <v>5</v>
      </c>
      <c r="J53" s="14">
        <v>3</v>
      </c>
      <c r="K53" s="14">
        <v>4</v>
      </c>
      <c r="L53" s="14" t="s">
        <v>9</v>
      </c>
      <c r="M53" s="14">
        <v>4</v>
      </c>
      <c r="N53" s="14">
        <v>7</v>
      </c>
      <c r="O53" s="14">
        <v>2</v>
      </c>
      <c r="P53" s="14">
        <v>9</v>
      </c>
      <c r="Q53" s="14">
        <v>5</v>
      </c>
      <c r="R53" s="14" t="s">
        <v>9</v>
      </c>
      <c r="S53" s="14" t="s">
        <v>9</v>
      </c>
      <c r="T53" s="14">
        <v>7</v>
      </c>
      <c r="U53" s="14">
        <v>1</v>
      </c>
      <c r="V53" s="14">
        <v>7</v>
      </c>
      <c r="W53" s="14">
        <v>4</v>
      </c>
      <c r="X53" s="14">
        <v>0</v>
      </c>
      <c r="Y53" s="14">
        <v>6</v>
      </c>
      <c r="Z53" s="14" t="s">
        <v>9</v>
      </c>
      <c r="AA53" s="14">
        <v>1</v>
      </c>
      <c r="AB53" s="14">
        <v>2</v>
      </c>
      <c r="AC53" s="14">
        <v>16</v>
      </c>
      <c r="AD53" s="14">
        <v>1</v>
      </c>
      <c r="AE53" s="14">
        <v>1</v>
      </c>
      <c r="AF53" s="14" t="s">
        <v>9</v>
      </c>
      <c r="AG53" s="14" t="s">
        <v>9</v>
      </c>
      <c r="AH53" s="55">
        <f t="shared" si="13"/>
        <v>100</v>
      </c>
      <c r="AI53" s="151"/>
    </row>
    <row r="54" spans="1:35" x14ac:dyDescent="0.25">
      <c r="A54" s="121"/>
      <c r="B54" s="138"/>
      <c r="C54" s="50" t="s">
        <v>51</v>
      </c>
      <c r="D54" s="14" t="s">
        <v>9</v>
      </c>
      <c r="E54" s="14" t="s">
        <v>9</v>
      </c>
      <c r="F54" s="14">
        <v>2</v>
      </c>
      <c r="G54" s="14">
        <v>0</v>
      </c>
      <c r="H54" s="14">
        <v>3</v>
      </c>
      <c r="I54" s="14">
        <v>3</v>
      </c>
      <c r="J54" s="14">
        <v>1</v>
      </c>
      <c r="K54" s="14">
        <v>1</v>
      </c>
      <c r="L54" s="14" t="s">
        <v>9</v>
      </c>
      <c r="M54" s="14">
        <v>3</v>
      </c>
      <c r="N54" s="14">
        <v>2</v>
      </c>
      <c r="O54" s="14">
        <v>0</v>
      </c>
      <c r="P54" s="14">
        <v>2</v>
      </c>
      <c r="Q54" s="14">
        <v>2</v>
      </c>
      <c r="R54" s="14" t="s">
        <v>9</v>
      </c>
      <c r="S54" s="14" t="s">
        <v>9</v>
      </c>
      <c r="T54" s="14">
        <v>1</v>
      </c>
      <c r="U54" s="14">
        <v>1</v>
      </c>
      <c r="V54" s="14">
        <v>3</v>
      </c>
      <c r="W54" s="14">
        <v>3</v>
      </c>
      <c r="X54" s="14">
        <v>3</v>
      </c>
      <c r="Y54" s="14">
        <v>3</v>
      </c>
      <c r="Z54" s="14" t="s">
        <v>9</v>
      </c>
      <c r="AA54" s="14">
        <v>3</v>
      </c>
      <c r="AB54" s="14">
        <v>0</v>
      </c>
      <c r="AC54" s="14">
        <v>4</v>
      </c>
      <c r="AD54" s="14">
        <v>0</v>
      </c>
      <c r="AE54" s="14">
        <v>3</v>
      </c>
      <c r="AF54" s="14" t="s">
        <v>9</v>
      </c>
      <c r="AG54" s="14" t="s">
        <v>9</v>
      </c>
      <c r="AH54" s="55">
        <f t="shared" si="13"/>
        <v>43</v>
      </c>
      <c r="AI54" s="151"/>
    </row>
    <row r="55" spans="1:35" x14ac:dyDescent="0.25">
      <c r="A55" s="90"/>
      <c r="B55" s="139" t="s">
        <v>45</v>
      </c>
      <c r="C55" s="51" t="s">
        <v>46</v>
      </c>
      <c r="D55" s="3" t="s">
        <v>9</v>
      </c>
      <c r="E55" s="3" t="s">
        <v>9</v>
      </c>
      <c r="F55" s="3">
        <v>5</v>
      </c>
      <c r="G55" s="3">
        <v>4</v>
      </c>
      <c r="H55" s="3">
        <v>1</v>
      </c>
      <c r="I55" s="3">
        <v>4</v>
      </c>
      <c r="J55" s="3">
        <v>10</v>
      </c>
      <c r="K55" s="3">
        <v>5</v>
      </c>
      <c r="L55" s="3" t="s">
        <v>9</v>
      </c>
      <c r="M55" s="3">
        <v>4</v>
      </c>
      <c r="N55" s="3">
        <v>5</v>
      </c>
      <c r="O55" s="3">
        <v>1</v>
      </c>
      <c r="P55" s="3">
        <v>3</v>
      </c>
      <c r="Q55" s="3">
        <v>4</v>
      </c>
      <c r="R55" s="3" t="s">
        <v>9</v>
      </c>
      <c r="S55" s="3" t="s">
        <v>9</v>
      </c>
      <c r="T55" s="3">
        <v>3</v>
      </c>
      <c r="U55" s="3">
        <v>0</v>
      </c>
      <c r="V55" s="3">
        <v>4</v>
      </c>
      <c r="W55" s="3">
        <v>4</v>
      </c>
      <c r="X55" s="3">
        <v>7</v>
      </c>
      <c r="Y55" s="3">
        <v>5</v>
      </c>
      <c r="Z55" s="3" t="s">
        <v>9</v>
      </c>
      <c r="AA55" s="3">
        <v>7</v>
      </c>
      <c r="AB55" s="3">
        <v>3</v>
      </c>
      <c r="AC55" s="3">
        <v>8</v>
      </c>
      <c r="AD55" s="3">
        <v>6</v>
      </c>
      <c r="AE55" s="3">
        <v>5</v>
      </c>
      <c r="AF55" s="3" t="s">
        <v>9</v>
      </c>
      <c r="AG55" s="3" t="s">
        <v>9</v>
      </c>
      <c r="AH55" s="55">
        <f t="shared" si="13"/>
        <v>98</v>
      </c>
      <c r="AI55" s="152"/>
    </row>
    <row r="56" spans="1:35" ht="14.25" customHeight="1" thickBot="1" x14ac:dyDescent="0.3">
      <c r="A56" s="91"/>
      <c r="B56" s="140"/>
      <c r="C56" s="52" t="s">
        <v>47</v>
      </c>
      <c r="D56" s="8" t="s">
        <v>9</v>
      </c>
      <c r="E56" s="8" t="s">
        <v>9</v>
      </c>
      <c r="F56" s="8">
        <v>1</v>
      </c>
      <c r="G56" s="8">
        <v>1</v>
      </c>
      <c r="H56" s="8">
        <v>0</v>
      </c>
      <c r="I56" s="8">
        <v>1</v>
      </c>
      <c r="J56" s="8">
        <v>0</v>
      </c>
      <c r="K56" s="8">
        <v>0</v>
      </c>
      <c r="L56" s="8" t="s">
        <v>9</v>
      </c>
      <c r="M56" s="8">
        <v>0</v>
      </c>
      <c r="N56" s="8">
        <v>0</v>
      </c>
      <c r="O56" s="8">
        <v>0</v>
      </c>
      <c r="P56" s="8">
        <v>1</v>
      </c>
      <c r="Q56" s="8">
        <v>0</v>
      </c>
      <c r="R56" s="8" t="s">
        <v>9</v>
      </c>
      <c r="S56" s="8" t="s">
        <v>9</v>
      </c>
      <c r="T56" s="8">
        <v>1</v>
      </c>
      <c r="U56" s="8">
        <v>0</v>
      </c>
      <c r="V56" s="8">
        <v>0</v>
      </c>
      <c r="W56" s="8">
        <v>0</v>
      </c>
      <c r="X56" s="8">
        <v>1</v>
      </c>
      <c r="Y56" s="8">
        <v>3</v>
      </c>
      <c r="Z56" s="8" t="s">
        <v>9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9</v>
      </c>
      <c r="AG56" s="8" t="s">
        <v>9</v>
      </c>
      <c r="AH56" s="56">
        <f t="shared" si="13"/>
        <v>9</v>
      </c>
      <c r="AI56" s="153"/>
    </row>
    <row r="57" spans="1:35" x14ac:dyDescent="0.25">
      <c r="A57" s="106" t="s">
        <v>73</v>
      </c>
      <c r="B57" s="124" t="s">
        <v>18</v>
      </c>
      <c r="C57" s="49" t="s">
        <v>48</v>
      </c>
      <c r="D57" s="7">
        <v>13</v>
      </c>
      <c r="E57" s="7" t="s">
        <v>9</v>
      </c>
      <c r="F57" s="7">
        <v>9</v>
      </c>
      <c r="G57" s="7">
        <v>8</v>
      </c>
      <c r="H57" s="7">
        <v>6</v>
      </c>
      <c r="I57" s="7">
        <v>0</v>
      </c>
      <c r="J57" s="7">
        <v>13</v>
      </c>
      <c r="K57" s="7">
        <v>2</v>
      </c>
      <c r="L57" s="7" t="s">
        <v>9</v>
      </c>
      <c r="M57" s="7">
        <v>4</v>
      </c>
      <c r="N57" s="7">
        <v>0</v>
      </c>
      <c r="O57" s="7">
        <v>7</v>
      </c>
      <c r="P57" s="7">
        <v>0</v>
      </c>
      <c r="Q57" s="20">
        <v>0</v>
      </c>
      <c r="R57" s="7" t="s">
        <v>9</v>
      </c>
      <c r="S57" s="7" t="s">
        <v>9</v>
      </c>
      <c r="T57" s="7">
        <v>0</v>
      </c>
      <c r="U57" s="7">
        <v>1</v>
      </c>
      <c r="V57" s="7">
        <v>4</v>
      </c>
      <c r="W57" s="7" t="s">
        <v>9</v>
      </c>
      <c r="X57" s="7">
        <v>6</v>
      </c>
      <c r="Y57" s="7">
        <v>10</v>
      </c>
      <c r="Z57" s="7" t="s">
        <v>9</v>
      </c>
      <c r="AA57" s="7">
        <v>10</v>
      </c>
      <c r="AB57" s="7">
        <v>7</v>
      </c>
      <c r="AC57" s="7">
        <v>17</v>
      </c>
      <c r="AD57" s="7">
        <v>7</v>
      </c>
      <c r="AE57" s="7">
        <v>16</v>
      </c>
      <c r="AF57" s="7">
        <v>2</v>
      </c>
      <c r="AG57" s="7" t="s">
        <v>9</v>
      </c>
      <c r="AH57" s="45">
        <f t="shared" ref="AH57:AH62" si="14">SUM(D57:AG57)</f>
        <v>142</v>
      </c>
      <c r="AI57" s="154">
        <f t="shared" ref="AI57" si="15">SUM(AH57:AH62)</f>
        <v>197</v>
      </c>
    </row>
    <row r="58" spans="1:35" x14ac:dyDescent="0.25">
      <c r="A58" s="72"/>
      <c r="B58" s="125"/>
      <c r="C58" s="50" t="s">
        <v>50</v>
      </c>
      <c r="D58" s="14">
        <v>0</v>
      </c>
      <c r="E58" s="14" t="s">
        <v>9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 t="s">
        <v>9</v>
      </c>
      <c r="M58" s="14">
        <v>0</v>
      </c>
      <c r="N58" s="14">
        <v>0</v>
      </c>
      <c r="O58" s="14">
        <v>0</v>
      </c>
      <c r="P58" s="14">
        <v>0</v>
      </c>
      <c r="Q58" s="22">
        <v>0</v>
      </c>
      <c r="R58" s="14" t="s">
        <v>9</v>
      </c>
      <c r="S58" s="14" t="s">
        <v>9</v>
      </c>
      <c r="T58" s="14">
        <v>0</v>
      </c>
      <c r="U58" s="14">
        <v>1</v>
      </c>
      <c r="V58" s="14">
        <v>0</v>
      </c>
      <c r="W58" s="14" t="s">
        <v>9</v>
      </c>
      <c r="X58" s="14">
        <v>1</v>
      </c>
      <c r="Y58" s="14">
        <v>0</v>
      </c>
      <c r="Z58" s="14" t="s">
        <v>9</v>
      </c>
      <c r="AA58" s="14">
        <v>0</v>
      </c>
      <c r="AB58" s="14">
        <v>0</v>
      </c>
      <c r="AC58" s="14">
        <v>1</v>
      </c>
      <c r="AD58" s="14">
        <v>0</v>
      </c>
      <c r="AE58" s="14">
        <v>0</v>
      </c>
      <c r="AF58" s="14">
        <v>1</v>
      </c>
      <c r="AG58" s="14" t="s">
        <v>9</v>
      </c>
      <c r="AH58" s="44">
        <f t="shared" si="14"/>
        <v>4</v>
      </c>
      <c r="AI58" s="151"/>
    </row>
    <row r="59" spans="1:35" x14ac:dyDescent="0.25">
      <c r="A59" s="72"/>
      <c r="B59" s="125"/>
      <c r="C59" s="50" t="s">
        <v>49</v>
      </c>
      <c r="D59" s="14">
        <v>0</v>
      </c>
      <c r="E59" s="14" t="s">
        <v>9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 t="s">
        <v>9</v>
      </c>
      <c r="M59" s="14">
        <v>0</v>
      </c>
      <c r="N59" s="14">
        <v>0</v>
      </c>
      <c r="O59" s="14">
        <v>0</v>
      </c>
      <c r="P59" s="14">
        <v>0</v>
      </c>
      <c r="Q59" s="22">
        <v>0</v>
      </c>
      <c r="R59" s="14" t="s">
        <v>9</v>
      </c>
      <c r="S59" s="14" t="s">
        <v>9</v>
      </c>
      <c r="T59" s="14">
        <v>0</v>
      </c>
      <c r="U59" s="14">
        <v>0</v>
      </c>
      <c r="V59" s="14">
        <v>0</v>
      </c>
      <c r="W59" s="14" t="s">
        <v>9</v>
      </c>
      <c r="X59" s="14">
        <v>0</v>
      </c>
      <c r="Y59" s="14">
        <v>0</v>
      </c>
      <c r="Z59" s="14" t="s">
        <v>9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 t="s">
        <v>9</v>
      </c>
      <c r="AH59" s="44">
        <f t="shared" si="14"/>
        <v>0</v>
      </c>
      <c r="AI59" s="151"/>
    </row>
    <row r="60" spans="1:35" x14ac:dyDescent="0.25">
      <c r="A60" s="72"/>
      <c r="B60" s="126"/>
      <c r="C60" s="50" t="s">
        <v>51</v>
      </c>
      <c r="D60" s="14">
        <v>0</v>
      </c>
      <c r="E60" s="14" t="s">
        <v>9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 t="s">
        <v>9</v>
      </c>
      <c r="M60" s="14">
        <v>0</v>
      </c>
      <c r="N60" s="14">
        <v>0</v>
      </c>
      <c r="O60" s="14">
        <v>0</v>
      </c>
      <c r="P60" s="14">
        <v>1</v>
      </c>
      <c r="Q60" s="22">
        <v>0</v>
      </c>
      <c r="R60" s="14" t="s">
        <v>9</v>
      </c>
      <c r="S60" s="14" t="s">
        <v>9</v>
      </c>
      <c r="T60" s="14">
        <v>0</v>
      </c>
      <c r="U60" s="14">
        <v>1</v>
      </c>
      <c r="V60" s="14">
        <v>0</v>
      </c>
      <c r="W60" s="14" t="s">
        <v>9</v>
      </c>
      <c r="X60" s="14">
        <v>0</v>
      </c>
      <c r="Y60" s="14">
        <v>0</v>
      </c>
      <c r="Z60" s="14" t="s">
        <v>9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1</v>
      </c>
      <c r="AG60" s="14" t="s">
        <v>9</v>
      </c>
      <c r="AH60" s="44">
        <f t="shared" si="14"/>
        <v>3</v>
      </c>
      <c r="AI60" s="151"/>
    </row>
    <row r="61" spans="1:35" x14ac:dyDescent="0.25">
      <c r="A61" s="72"/>
      <c r="B61" s="127" t="s">
        <v>45</v>
      </c>
      <c r="C61" s="51" t="s">
        <v>46</v>
      </c>
      <c r="D61" s="3">
        <v>1</v>
      </c>
      <c r="E61" s="3" t="s">
        <v>9</v>
      </c>
      <c r="F61" s="3">
        <v>5</v>
      </c>
      <c r="G61" s="3">
        <v>2</v>
      </c>
      <c r="H61" s="3">
        <v>4</v>
      </c>
      <c r="I61" s="3">
        <v>3</v>
      </c>
      <c r="J61" s="3">
        <v>2</v>
      </c>
      <c r="K61" s="3">
        <v>1</v>
      </c>
      <c r="L61" s="3" t="s">
        <v>9</v>
      </c>
      <c r="M61" s="3">
        <v>1</v>
      </c>
      <c r="N61" s="3">
        <v>0</v>
      </c>
      <c r="O61" s="3">
        <v>0</v>
      </c>
      <c r="P61" s="3">
        <v>0</v>
      </c>
      <c r="Q61" s="17">
        <v>1</v>
      </c>
      <c r="R61" s="3" t="s">
        <v>9</v>
      </c>
      <c r="S61" s="3" t="s">
        <v>9</v>
      </c>
      <c r="T61" s="3">
        <v>0</v>
      </c>
      <c r="U61" s="3">
        <v>1</v>
      </c>
      <c r="V61" s="3">
        <v>2</v>
      </c>
      <c r="W61" s="3" t="s">
        <v>9</v>
      </c>
      <c r="X61" s="3">
        <v>1</v>
      </c>
      <c r="Y61" s="3">
        <v>0</v>
      </c>
      <c r="Z61" s="3" t="s">
        <v>9</v>
      </c>
      <c r="AA61" s="3">
        <v>2</v>
      </c>
      <c r="AB61" s="3">
        <v>8</v>
      </c>
      <c r="AC61" s="3">
        <v>5</v>
      </c>
      <c r="AD61" s="3">
        <v>3</v>
      </c>
      <c r="AE61" s="3">
        <v>4</v>
      </c>
      <c r="AF61" s="3">
        <v>1</v>
      </c>
      <c r="AG61" s="3" t="s">
        <v>9</v>
      </c>
      <c r="AH61" s="44">
        <f t="shared" si="14"/>
        <v>47</v>
      </c>
      <c r="AI61" s="152"/>
    </row>
    <row r="62" spans="1:35" ht="13.5" thickBot="1" x14ac:dyDescent="0.3">
      <c r="A62" s="157"/>
      <c r="B62" s="125"/>
      <c r="C62" s="53" t="s">
        <v>47</v>
      </c>
      <c r="D62" s="13">
        <v>0</v>
      </c>
      <c r="E62" s="13" t="s">
        <v>9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 t="s">
        <v>9</v>
      </c>
      <c r="M62" s="13">
        <v>0</v>
      </c>
      <c r="N62" s="13">
        <v>0</v>
      </c>
      <c r="O62" s="13">
        <v>0</v>
      </c>
      <c r="P62" s="13">
        <v>0</v>
      </c>
      <c r="Q62" s="18">
        <v>0</v>
      </c>
      <c r="R62" s="8" t="s">
        <v>9</v>
      </c>
      <c r="S62" s="8" t="s">
        <v>9</v>
      </c>
      <c r="T62" s="13">
        <v>0</v>
      </c>
      <c r="U62" s="13">
        <v>0</v>
      </c>
      <c r="V62" s="13">
        <v>0</v>
      </c>
      <c r="W62" s="8" t="s">
        <v>9</v>
      </c>
      <c r="X62" s="13">
        <v>0</v>
      </c>
      <c r="Y62" s="13">
        <v>0</v>
      </c>
      <c r="Z62" s="13" t="s">
        <v>9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1</v>
      </c>
      <c r="AG62" s="13" t="s">
        <v>9</v>
      </c>
      <c r="AH62" s="65">
        <f t="shared" si="14"/>
        <v>1</v>
      </c>
      <c r="AI62" s="155"/>
    </row>
    <row r="63" spans="1:35" x14ac:dyDescent="0.25">
      <c r="A63" s="89" t="s">
        <v>72</v>
      </c>
      <c r="B63" s="124" t="s">
        <v>18</v>
      </c>
      <c r="C63" s="49" t="s">
        <v>48</v>
      </c>
      <c r="D63" s="7">
        <v>24</v>
      </c>
      <c r="E63" s="7" t="s">
        <v>9</v>
      </c>
      <c r="F63" s="7">
        <v>4</v>
      </c>
      <c r="G63" s="7">
        <v>5</v>
      </c>
      <c r="H63" s="7">
        <v>16</v>
      </c>
      <c r="I63" s="7">
        <v>2</v>
      </c>
      <c r="J63" s="7">
        <v>16</v>
      </c>
      <c r="K63" s="7">
        <v>1</v>
      </c>
      <c r="L63" s="7" t="s">
        <v>9</v>
      </c>
      <c r="M63" s="7">
        <v>3</v>
      </c>
      <c r="N63" s="7">
        <v>2</v>
      </c>
      <c r="O63" s="7">
        <v>8</v>
      </c>
      <c r="P63" s="7">
        <v>0</v>
      </c>
      <c r="Q63" s="7">
        <v>0</v>
      </c>
      <c r="R63" s="7" t="s">
        <v>9</v>
      </c>
      <c r="S63" s="7" t="s">
        <v>9</v>
      </c>
      <c r="T63" s="7">
        <v>0</v>
      </c>
      <c r="U63" s="7">
        <v>1</v>
      </c>
      <c r="V63" s="7">
        <v>4</v>
      </c>
      <c r="W63" s="7">
        <v>4</v>
      </c>
      <c r="X63" s="7">
        <v>17</v>
      </c>
      <c r="Y63" s="7" t="s">
        <v>9</v>
      </c>
      <c r="Z63" s="7" t="s">
        <v>9</v>
      </c>
      <c r="AA63" s="7">
        <v>3</v>
      </c>
      <c r="AB63" s="7">
        <v>9</v>
      </c>
      <c r="AC63" s="7">
        <v>22</v>
      </c>
      <c r="AD63" s="7">
        <v>3</v>
      </c>
      <c r="AE63" s="7">
        <v>12</v>
      </c>
      <c r="AF63" s="7">
        <v>0</v>
      </c>
      <c r="AG63" s="7" t="s">
        <v>9</v>
      </c>
      <c r="AH63" s="54">
        <f t="shared" ref="AH63:AH68" si="16">SUM(D63:AG63)</f>
        <v>156</v>
      </c>
      <c r="AI63" s="154">
        <f t="shared" ref="AI63" si="17">SUM(AH63:AH68)</f>
        <v>189</v>
      </c>
    </row>
    <row r="64" spans="1:35" x14ac:dyDescent="0.25">
      <c r="A64" s="121"/>
      <c r="B64" s="125"/>
      <c r="C64" s="50" t="s">
        <v>50</v>
      </c>
      <c r="D64" s="14">
        <v>0</v>
      </c>
      <c r="E64" s="14" t="s">
        <v>9</v>
      </c>
      <c r="F64" s="14">
        <v>0</v>
      </c>
      <c r="G64" s="14">
        <v>0</v>
      </c>
      <c r="H64" s="14">
        <v>0</v>
      </c>
      <c r="I64" s="14">
        <v>0</v>
      </c>
      <c r="J64" s="14">
        <v>1</v>
      </c>
      <c r="K64" s="14">
        <v>0</v>
      </c>
      <c r="L64" s="14" t="s">
        <v>9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 t="s">
        <v>9</v>
      </c>
      <c r="S64" s="14" t="s">
        <v>9</v>
      </c>
      <c r="T64" s="14">
        <v>0</v>
      </c>
      <c r="U64" s="14">
        <v>1</v>
      </c>
      <c r="V64" s="14">
        <v>1</v>
      </c>
      <c r="W64" s="14">
        <v>0</v>
      </c>
      <c r="X64" s="14">
        <v>2</v>
      </c>
      <c r="Y64" s="14" t="s">
        <v>9</v>
      </c>
      <c r="Z64" s="14" t="s">
        <v>9</v>
      </c>
      <c r="AA64" s="14">
        <v>0</v>
      </c>
      <c r="AB64" s="14">
        <v>0</v>
      </c>
      <c r="AC64" s="14">
        <v>0</v>
      </c>
      <c r="AD64" s="14">
        <v>1</v>
      </c>
      <c r="AE64" s="14">
        <v>0</v>
      </c>
      <c r="AF64" s="14">
        <v>2</v>
      </c>
      <c r="AG64" s="14" t="s">
        <v>9</v>
      </c>
      <c r="AH64" s="55">
        <f t="shared" si="16"/>
        <v>8</v>
      </c>
      <c r="AI64" s="151"/>
    </row>
    <row r="65" spans="1:35" x14ac:dyDescent="0.25">
      <c r="A65" s="121"/>
      <c r="B65" s="125"/>
      <c r="C65" s="50" t="s">
        <v>49</v>
      </c>
      <c r="D65" s="14">
        <v>0</v>
      </c>
      <c r="E65" s="14" t="s">
        <v>9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 t="s">
        <v>9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 t="s">
        <v>9</v>
      </c>
      <c r="S65" s="14" t="s">
        <v>9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 t="s">
        <v>9</v>
      </c>
      <c r="Z65" s="14" t="s">
        <v>9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 t="s">
        <v>9</v>
      </c>
      <c r="AH65" s="55">
        <f t="shared" si="16"/>
        <v>0</v>
      </c>
      <c r="AI65" s="151"/>
    </row>
    <row r="66" spans="1:35" x14ac:dyDescent="0.25">
      <c r="A66" s="121"/>
      <c r="B66" s="126"/>
      <c r="C66" s="50" t="s">
        <v>51</v>
      </c>
      <c r="D66" s="14">
        <v>0</v>
      </c>
      <c r="E66" s="14" t="s">
        <v>9</v>
      </c>
      <c r="F66" s="14">
        <v>0</v>
      </c>
      <c r="G66" s="14">
        <v>0</v>
      </c>
      <c r="H66" s="14">
        <v>0</v>
      </c>
      <c r="I66" s="14">
        <v>0</v>
      </c>
      <c r="J66" s="14">
        <v>1</v>
      </c>
      <c r="K66" s="14">
        <v>0</v>
      </c>
      <c r="L66" s="14" t="s">
        <v>9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 t="s">
        <v>9</v>
      </c>
      <c r="S66" s="14" t="s">
        <v>9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 t="s">
        <v>9</v>
      </c>
      <c r="Z66" s="14" t="s">
        <v>9</v>
      </c>
      <c r="AA66" s="14">
        <v>0</v>
      </c>
      <c r="AB66" s="14">
        <v>0</v>
      </c>
      <c r="AC66" s="14">
        <v>1</v>
      </c>
      <c r="AD66" s="14">
        <v>0</v>
      </c>
      <c r="AE66" s="14">
        <v>1</v>
      </c>
      <c r="AF66" s="14">
        <v>1</v>
      </c>
      <c r="AG66" s="14" t="s">
        <v>9</v>
      </c>
      <c r="AH66" s="55">
        <f t="shared" si="16"/>
        <v>4</v>
      </c>
      <c r="AI66" s="151"/>
    </row>
    <row r="67" spans="1:35" x14ac:dyDescent="0.25">
      <c r="A67" s="90"/>
      <c r="B67" s="127" t="s">
        <v>45</v>
      </c>
      <c r="C67" s="51" t="s">
        <v>46</v>
      </c>
      <c r="D67" s="3">
        <v>0</v>
      </c>
      <c r="E67" s="3" t="s">
        <v>9</v>
      </c>
      <c r="F67" s="3">
        <v>0</v>
      </c>
      <c r="G67" s="3">
        <v>0</v>
      </c>
      <c r="H67" s="3">
        <v>1</v>
      </c>
      <c r="I67" s="3">
        <v>0</v>
      </c>
      <c r="J67" s="3">
        <v>2</v>
      </c>
      <c r="K67" s="3">
        <v>0</v>
      </c>
      <c r="L67" s="3" t="s">
        <v>9</v>
      </c>
      <c r="M67" s="3">
        <v>0</v>
      </c>
      <c r="N67" s="3">
        <v>0</v>
      </c>
      <c r="O67" s="3">
        <v>0</v>
      </c>
      <c r="P67" s="3">
        <v>1</v>
      </c>
      <c r="Q67" s="3">
        <v>0</v>
      </c>
      <c r="R67" s="3" t="s">
        <v>9</v>
      </c>
      <c r="S67" s="3" t="s">
        <v>9</v>
      </c>
      <c r="T67" s="3">
        <v>1</v>
      </c>
      <c r="U67" s="3">
        <v>1</v>
      </c>
      <c r="V67" s="3">
        <v>0</v>
      </c>
      <c r="W67" s="3">
        <v>1</v>
      </c>
      <c r="X67" s="3">
        <v>5</v>
      </c>
      <c r="Y67" s="3" t="s">
        <v>9</v>
      </c>
      <c r="Z67" s="3" t="s">
        <v>9</v>
      </c>
      <c r="AA67" s="3">
        <v>2</v>
      </c>
      <c r="AB67" s="3">
        <v>4</v>
      </c>
      <c r="AC67" s="3">
        <v>3</v>
      </c>
      <c r="AD67" s="3">
        <v>0</v>
      </c>
      <c r="AE67" s="3" t="s">
        <v>37</v>
      </c>
      <c r="AF67" s="3">
        <v>0</v>
      </c>
      <c r="AG67" s="3" t="s">
        <v>9</v>
      </c>
      <c r="AH67" s="55">
        <f t="shared" si="16"/>
        <v>21</v>
      </c>
      <c r="AI67" s="152"/>
    </row>
    <row r="68" spans="1:35" ht="13.5" thickBot="1" x14ac:dyDescent="0.3">
      <c r="A68" s="91"/>
      <c r="B68" s="128"/>
      <c r="C68" s="52" t="s">
        <v>47</v>
      </c>
      <c r="D68" s="8">
        <v>0</v>
      </c>
      <c r="E68" s="8" t="s">
        <v>9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 t="s">
        <v>9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 t="s">
        <v>9</v>
      </c>
      <c r="S68" s="8" t="s">
        <v>9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 t="s">
        <v>9</v>
      </c>
      <c r="Z68" s="8" t="s">
        <v>9</v>
      </c>
      <c r="AA68" s="8">
        <v>0</v>
      </c>
      <c r="AB68" s="8">
        <v>0</v>
      </c>
      <c r="AC68" s="8">
        <v>0</v>
      </c>
      <c r="AD68" s="8">
        <v>0</v>
      </c>
      <c r="AE68" s="8" t="s">
        <v>37</v>
      </c>
      <c r="AF68" s="8">
        <v>0</v>
      </c>
      <c r="AG68" s="8" t="s">
        <v>9</v>
      </c>
      <c r="AH68" s="56">
        <f t="shared" si="16"/>
        <v>0</v>
      </c>
      <c r="AI68" s="153"/>
    </row>
    <row r="69" spans="1:35" x14ac:dyDescent="0.25">
      <c r="A69" s="124" t="s">
        <v>80</v>
      </c>
      <c r="B69" s="124" t="s">
        <v>18</v>
      </c>
      <c r="C69" s="49" t="s">
        <v>48</v>
      </c>
      <c r="D69" s="66" t="s">
        <v>29</v>
      </c>
      <c r="E69" s="7" t="s">
        <v>29</v>
      </c>
      <c r="F69" s="7" t="s">
        <v>29</v>
      </c>
      <c r="G69" s="7" t="s">
        <v>29</v>
      </c>
      <c r="H69" s="7" t="s">
        <v>29</v>
      </c>
      <c r="I69" s="7" t="s">
        <v>29</v>
      </c>
      <c r="J69" s="7" t="s">
        <v>29</v>
      </c>
      <c r="K69" s="7" t="s">
        <v>29</v>
      </c>
      <c r="L69" s="7" t="s">
        <v>29</v>
      </c>
      <c r="M69" s="7" t="s">
        <v>29</v>
      </c>
      <c r="N69" s="7" t="s">
        <v>29</v>
      </c>
      <c r="O69" s="7">
        <v>0</v>
      </c>
      <c r="P69" s="7">
        <v>1</v>
      </c>
      <c r="Q69" s="7">
        <v>2</v>
      </c>
      <c r="R69" s="7" t="s">
        <v>9</v>
      </c>
      <c r="S69" s="7" t="s">
        <v>9</v>
      </c>
      <c r="T69" s="7">
        <v>0</v>
      </c>
      <c r="U69" s="7">
        <v>4</v>
      </c>
      <c r="V69" s="7">
        <v>9</v>
      </c>
      <c r="W69" s="7" t="s">
        <v>9</v>
      </c>
      <c r="X69" s="7" t="s">
        <v>37</v>
      </c>
      <c r="Y69" s="7">
        <v>13</v>
      </c>
      <c r="Z69" s="7" t="s">
        <v>9</v>
      </c>
      <c r="AA69" s="7">
        <v>12</v>
      </c>
      <c r="AB69" s="7">
        <v>16</v>
      </c>
      <c r="AC69" s="7" t="s">
        <v>37</v>
      </c>
      <c r="AD69" s="7">
        <v>12</v>
      </c>
      <c r="AE69" s="7">
        <v>9</v>
      </c>
      <c r="AF69" s="7" t="s">
        <v>9</v>
      </c>
      <c r="AG69" s="7" t="s">
        <v>9</v>
      </c>
      <c r="AH69" s="45">
        <f t="shared" ref="AH69:AH74" si="18">SUM(D69:AG69)</f>
        <v>78</v>
      </c>
      <c r="AI69" s="154">
        <f t="shared" ref="AI69" si="19">SUM(AH69:AH74)</f>
        <v>177</v>
      </c>
    </row>
    <row r="70" spans="1:35" x14ac:dyDescent="0.25">
      <c r="A70" s="125"/>
      <c r="B70" s="125"/>
      <c r="C70" s="50" t="s">
        <v>50</v>
      </c>
      <c r="D70" s="64" t="s">
        <v>29</v>
      </c>
      <c r="E70" s="3" t="s">
        <v>29</v>
      </c>
      <c r="F70" s="3" t="s">
        <v>29</v>
      </c>
      <c r="G70" s="3" t="s">
        <v>29</v>
      </c>
      <c r="H70" s="3" t="s">
        <v>29</v>
      </c>
      <c r="I70" s="3" t="s">
        <v>29</v>
      </c>
      <c r="J70" s="3" t="s">
        <v>29</v>
      </c>
      <c r="K70" s="3" t="s">
        <v>29</v>
      </c>
      <c r="L70" s="3" t="s">
        <v>29</v>
      </c>
      <c r="M70" s="3" t="s">
        <v>29</v>
      </c>
      <c r="N70" s="3" t="s">
        <v>29</v>
      </c>
      <c r="O70" s="3">
        <v>0</v>
      </c>
      <c r="P70" s="3">
        <v>4</v>
      </c>
      <c r="Q70" s="3">
        <v>8</v>
      </c>
      <c r="R70" s="14" t="s">
        <v>9</v>
      </c>
      <c r="S70" s="14" t="s">
        <v>9</v>
      </c>
      <c r="T70" s="14">
        <v>9</v>
      </c>
      <c r="U70" s="14">
        <v>7</v>
      </c>
      <c r="V70" s="14">
        <v>3</v>
      </c>
      <c r="W70" s="14" t="s">
        <v>9</v>
      </c>
      <c r="X70" s="14" t="s">
        <v>37</v>
      </c>
      <c r="Y70" s="14">
        <v>3</v>
      </c>
      <c r="Z70" s="14" t="s">
        <v>9</v>
      </c>
      <c r="AA70" s="14">
        <v>4</v>
      </c>
      <c r="AB70" s="14">
        <v>2</v>
      </c>
      <c r="AC70" s="14" t="s">
        <v>37</v>
      </c>
      <c r="AD70" s="14">
        <v>3</v>
      </c>
      <c r="AE70" s="14">
        <v>3</v>
      </c>
      <c r="AF70" s="14" t="s">
        <v>9</v>
      </c>
      <c r="AG70" s="14" t="s">
        <v>9</v>
      </c>
      <c r="AH70" s="44">
        <f t="shared" si="18"/>
        <v>46</v>
      </c>
      <c r="AI70" s="151"/>
    </row>
    <row r="71" spans="1:35" x14ac:dyDescent="0.25">
      <c r="A71" s="125"/>
      <c r="B71" s="125"/>
      <c r="C71" s="50" t="s">
        <v>49</v>
      </c>
      <c r="D71" s="64" t="s">
        <v>29</v>
      </c>
      <c r="E71" s="3" t="s">
        <v>29</v>
      </c>
      <c r="F71" s="3" t="s">
        <v>29</v>
      </c>
      <c r="G71" s="3" t="s">
        <v>29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>
        <v>0</v>
      </c>
      <c r="P71" s="3">
        <v>0</v>
      </c>
      <c r="Q71" s="3">
        <v>0</v>
      </c>
      <c r="R71" s="14" t="s">
        <v>9</v>
      </c>
      <c r="S71" s="14" t="s">
        <v>9</v>
      </c>
      <c r="T71" s="14">
        <v>0</v>
      </c>
      <c r="U71" s="14">
        <v>0</v>
      </c>
      <c r="V71" s="14">
        <v>0</v>
      </c>
      <c r="W71" s="14" t="s">
        <v>9</v>
      </c>
      <c r="X71" s="14" t="s">
        <v>37</v>
      </c>
      <c r="Y71" s="14">
        <v>0</v>
      </c>
      <c r="Z71" s="14" t="s">
        <v>9</v>
      </c>
      <c r="AA71" s="14">
        <v>0</v>
      </c>
      <c r="AB71" s="14">
        <v>0</v>
      </c>
      <c r="AC71" s="14" t="s">
        <v>37</v>
      </c>
      <c r="AD71" s="14">
        <v>0</v>
      </c>
      <c r="AE71" s="14">
        <v>0</v>
      </c>
      <c r="AF71" s="14" t="s">
        <v>9</v>
      </c>
      <c r="AG71" s="14" t="s">
        <v>9</v>
      </c>
      <c r="AH71" s="44">
        <f t="shared" si="18"/>
        <v>0</v>
      </c>
      <c r="AI71" s="151"/>
    </row>
    <row r="72" spans="1:35" x14ac:dyDescent="0.25">
      <c r="A72" s="125"/>
      <c r="B72" s="126"/>
      <c r="C72" s="50" t="s">
        <v>51</v>
      </c>
      <c r="D72" s="64" t="s">
        <v>29</v>
      </c>
      <c r="E72" s="3" t="s">
        <v>29</v>
      </c>
      <c r="F72" s="3" t="s">
        <v>29</v>
      </c>
      <c r="G72" s="3" t="s">
        <v>29</v>
      </c>
      <c r="H72" s="3" t="s">
        <v>29</v>
      </c>
      <c r="I72" s="3" t="s">
        <v>29</v>
      </c>
      <c r="J72" s="3" t="s">
        <v>29</v>
      </c>
      <c r="K72" s="3" t="s">
        <v>29</v>
      </c>
      <c r="L72" s="3" t="s">
        <v>29</v>
      </c>
      <c r="M72" s="3" t="s">
        <v>29</v>
      </c>
      <c r="N72" s="3" t="s">
        <v>29</v>
      </c>
      <c r="O72" s="3">
        <v>0</v>
      </c>
      <c r="P72" s="3">
        <v>1</v>
      </c>
      <c r="Q72" s="3">
        <v>1</v>
      </c>
      <c r="R72" s="14" t="s">
        <v>9</v>
      </c>
      <c r="S72" s="14" t="s">
        <v>9</v>
      </c>
      <c r="T72" s="14">
        <v>1</v>
      </c>
      <c r="U72" s="14">
        <v>0</v>
      </c>
      <c r="V72" s="14">
        <v>0</v>
      </c>
      <c r="W72" s="14" t="s">
        <v>9</v>
      </c>
      <c r="X72" s="14" t="s">
        <v>37</v>
      </c>
      <c r="Y72" s="14">
        <v>1</v>
      </c>
      <c r="Z72" s="14" t="s">
        <v>9</v>
      </c>
      <c r="AA72" s="14">
        <v>0</v>
      </c>
      <c r="AB72" s="14">
        <v>0</v>
      </c>
      <c r="AC72" s="14" t="s">
        <v>37</v>
      </c>
      <c r="AD72" s="14">
        <v>0</v>
      </c>
      <c r="AE72" s="14">
        <v>1</v>
      </c>
      <c r="AF72" s="14" t="s">
        <v>9</v>
      </c>
      <c r="AG72" s="14" t="s">
        <v>9</v>
      </c>
      <c r="AH72" s="44">
        <f t="shared" si="18"/>
        <v>5</v>
      </c>
      <c r="AI72" s="151"/>
    </row>
    <row r="73" spans="1:35" x14ac:dyDescent="0.25">
      <c r="A73" s="125"/>
      <c r="B73" s="127" t="s">
        <v>45</v>
      </c>
      <c r="C73" s="51" t="s">
        <v>46</v>
      </c>
      <c r="D73" s="64" t="s">
        <v>29</v>
      </c>
      <c r="E73" s="3" t="s">
        <v>29</v>
      </c>
      <c r="F73" s="3" t="s">
        <v>29</v>
      </c>
      <c r="G73" s="3" t="s">
        <v>29</v>
      </c>
      <c r="H73" s="3" t="s">
        <v>29</v>
      </c>
      <c r="I73" s="3" t="s">
        <v>29</v>
      </c>
      <c r="J73" s="3" t="s">
        <v>29</v>
      </c>
      <c r="K73" s="3" t="s">
        <v>29</v>
      </c>
      <c r="L73" s="3" t="s">
        <v>29</v>
      </c>
      <c r="M73" s="3" t="s">
        <v>29</v>
      </c>
      <c r="N73" s="3" t="s">
        <v>29</v>
      </c>
      <c r="O73" s="3">
        <v>0</v>
      </c>
      <c r="P73" s="3">
        <v>1</v>
      </c>
      <c r="Q73" s="3">
        <v>5</v>
      </c>
      <c r="R73" s="3" t="s">
        <v>9</v>
      </c>
      <c r="S73" s="3" t="s">
        <v>9</v>
      </c>
      <c r="T73" s="3">
        <v>2</v>
      </c>
      <c r="U73" s="3">
        <v>2</v>
      </c>
      <c r="V73" s="3">
        <v>3</v>
      </c>
      <c r="W73" s="3" t="s">
        <v>9</v>
      </c>
      <c r="X73" s="3" t="s">
        <v>37</v>
      </c>
      <c r="Y73" s="3">
        <v>14</v>
      </c>
      <c r="Z73" s="3" t="s">
        <v>9</v>
      </c>
      <c r="AA73" s="3">
        <v>5</v>
      </c>
      <c r="AB73" s="3">
        <v>10</v>
      </c>
      <c r="AC73" s="3" t="s">
        <v>37</v>
      </c>
      <c r="AD73" s="3">
        <v>5</v>
      </c>
      <c r="AE73" s="3">
        <v>1</v>
      </c>
      <c r="AF73" s="3" t="s">
        <v>9</v>
      </c>
      <c r="AG73" s="3" t="s">
        <v>9</v>
      </c>
      <c r="AH73" s="44">
        <f t="shared" si="18"/>
        <v>48</v>
      </c>
      <c r="AI73" s="152"/>
    </row>
    <row r="74" spans="1:35" ht="13.5" thickBot="1" x14ac:dyDescent="0.3">
      <c r="A74" s="128"/>
      <c r="B74" s="128"/>
      <c r="C74" s="52" t="s">
        <v>47</v>
      </c>
      <c r="D74" s="67" t="s">
        <v>29</v>
      </c>
      <c r="E74" s="8" t="s">
        <v>29</v>
      </c>
      <c r="F74" s="8" t="s">
        <v>29</v>
      </c>
      <c r="G74" s="8" t="s">
        <v>29</v>
      </c>
      <c r="H74" s="8" t="s">
        <v>29</v>
      </c>
      <c r="I74" s="8" t="s">
        <v>29</v>
      </c>
      <c r="J74" s="8" t="s">
        <v>29</v>
      </c>
      <c r="K74" s="8" t="s">
        <v>29</v>
      </c>
      <c r="L74" s="8" t="s">
        <v>29</v>
      </c>
      <c r="M74" s="8" t="s">
        <v>29</v>
      </c>
      <c r="N74" s="8" t="s">
        <v>29</v>
      </c>
      <c r="O74" s="8">
        <v>0</v>
      </c>
      <c r="P74" s="8">
        <v>0</v>
      </c>
      <c r="Q74" s="8">
        <v>0</v>
      </c>
      <c r="R74" s="8" t="s">
        <v>9</v>
      </c>
      <c r="S74" s="8" t="s">
        <v>9</v>
      </c>
      <c r="T74" s="8">
        <v>0</v>
      </c>
      <c r="U74" s="8">
        <v>0</v>
      </c>
      <c r="V74" s="8">
        <v>0</v>
      </c>
      <c r="W74" s="8" t="s">
        <v>9</v>
      </c>
      <c r="X74" s="8" t="s">
        <v>37</v>
      </c>
      <c r="Y74" s="8">
        <v>0</v>
      </c>
      <c r="Z74" s="8" t="s">
        <v>9</v>
      </c>
      <c r="AA74" s="8">
        <v>0</v>
      </c>
      <c r="AB74" s="8">
        <v>0</v>
      </c>
      <c r="AC74" s="8" t="s">
        <v>37</v>
      </c>
      <c r="AD74" s="8">
        <v>0</v>
      </c>
      <c r="AE74" s="8">
        <v>0</v>
      </c>
      <c r="AF74" s="8" t="s">
        <v>9</v>
      </c>
      <c r="AG74" s="8" t="s">
        <v>9</v>
      </c>
      <c r="AH74" s="46">
        <f t="shared" si="18"/>
        <v>0</v>
      </c>
      <c r="AI74" s="153"/>
    </row>
    <row r="75" spans="1:35" x14ac:dyDescent="0.25">
      <c r="A75" s="106" t="s">
        <v>81</v>
      </c>
      <c r="B75" s="124" t="s">
        <v>18</v>
      </c>
      <c r="C75" s="49" t="s">
        <v>48</v>
      </c>
      <c r="D75" s="66" t="s">
        <v>29</v>
      </c>
      <c r="E75" s="7" t="s">
        <v>29</v>
      </c>
      <c r="F75" s="7" t="s">
        <v>29</v>
      </c>
      <c r="G75" s="7" t="s">
        <v>29</v>
      </c>
      <c r="H75" s="7" t="s">
        <v>29</v>
      </c>
      <c r="I75" s="7" t="s">
        <v>29</v>
      </c>
      <c r="J75" s="7" t="s">
        <v>29</v>
      </c>
      <c r="K75" s="7" t="s">
        <v>29</v>
      </c>
      <c r="L75" s="7" t="s">
        <v>29</v>
      </c>
      <c r="M75" s="7" t="s">
        <v>29</v>
      </c>
      <c r="N75" s="7" t="s">
        <v>29</v>
      </c>
      <c r="O75" s="7" t="s">
        <v>29</v>
      </c>
      <c r="P75" s="7" t="s">
        <v>29</v>
      </c>
      <c r="Q75" s="7" t="s">
        <v>29</v>
      </c>
      <c r="R75" s="7" t="s">
        <v>29</v>
      </c>
      <c r="S75" s="7" t="s">
        <v>29</v>
      </c>
      <c r="T75" s="7" t="s">
        <v>29</v>
      </c>
      <c r="U75" s="7" t="s">
        <v>29</v>
      </c>
      <c r="V75" s="7" t="s">
        <v>29</v>
      </c>
      <c r="W75" s="7" t="s">
        <v>29</v>
      </c>
      <c r="X75" s="7" t="s">
        <v>29</v>
      </c>
      <c r="Y75" s="7" t="s">
        <v>29</v>
      </c>
      <c r="Z75" s="7" t="s">
        <v>29</v>
      </c>
      <c r="AA75" s="7" t="s">
        <v>29</v>
      </c>
      <c r="AB75" s="7" t="s">
        <v>29</v>
      </c>
      <c r="AC75" s="7">
        <v>0</v>
      </c>
      <c r="AD75" s="7">
        <v>1</v>
      </c>
      <c r="AE75" s="7">
        <v>0</v>
      </c>
      <c r="AF75" s="7">
        <v>1</v>
      </c>
      <c r="AG75" s="7" t="s">
        <v>9</v>
      </c>
      <c r="AH75" s="45">
        <f t="shared" ref="AH75:AH80" si="20">SUM(D75:AG75)</f>
        <v>2</v>
      </c>
      <c r="AI75" s="154">
        <f t="shared" ref="AI75" si="21">SUM(AH75:AH80)</f>
        <v>26</v>
      </c>
    </row>
    <row r="76" spans="1:35" x14ac:dyDescent="0.25">
      <c r="A76" s="72"/>
      <c r="B76" s="125"/>
      <c r="C76" s="50" t="s">
        <v>50</v>
      </c>
      <c r="D76" s="64" t="s">
        <v>29</v>
      </c>
      <c r="E76" s="3" t="s">
        <v>29</v>
      </c>
      <c r="F76" s="3" t="s">
        <v>29</v>
      </c>
      <c r="G76" s="3" t="s">
        <v>29</v>
      </c>
      <c r="H76" s="3" t="s">
        <v>29</v>
      </c>
      <c r="I76" s="3" t="s">
        <v>29</v>
      </c>
      <c r="J76" s="3" t="s">
        <v>29</v>
      </c>
      <c r="K76" s="3" t="s">
        <v>29</v>
      </c>
      <c r="L76" s="3" t="s">
        <v>29</v>
      </c>
      <c r="M76" s="3" t="s">
        <v>29</v>
      </c>
      <c r="N76" s="3" t="s">
        <v>29</v>
      </c>
      <c r="O76" s="3" t="s">
        <v>29</v>
      </c>
      <c r="P76" s="3" t="s">
        <v>29</v>
      </c>
      <c r="Q76" s="3" t="s">
        <v>29</v>
      </c>
      <c r="R76" s="3" t="s">
        <v>29</v>
      </c>
      <c r="S76" s="3" t="s">
        <v>29</v>
      </c>
      <c r="T76" s="3" t="s">
        <v>29</v>
      </c>
      <c r="U76" s="3" t="s">
        <v>29</v>
      </c>
      <c r="V76" s="3" t="s">
        <v>29</v>
      </c>
      <c r="W76" s="3" t="s">
        <v>29</v>
      </c>
      <c r="X76" s="3" t="s">
        <v>29</v>
      </c>
      <c r="Y76" s="3" t="s">
        <v>29</v>
      </c>
      <c r="Z76" s="3" t="s">
        <v>29</v>
      </c>
      <c r="AA76" s="3" t="s">
        <v>29</v>
      </c>
      <c r="AB76" s="3" t="s">
        <v>29</v>
      </c>
      <c r="AC76" s="3">
        <v>0</v>
      </c>
      <c r="AD76" s="14">
        <v>0</v>
      </c>
      <c r="AE76" s="14">
        <v>0</v>
      </c>
      <c r="AF76" s="14">
        <v>0</v>
      </c>
      <c r="AG76" s="14" t="s">
        <v>9</v>
      </c>
      <c r="AH76" s="44">
        <f t="shared" si="20"/>
        <v>0</v>
      </c>
      <c r="AI76" s="151"/>
    </row>
    <row r="77" spans="1:35" ht="13.5" customHeight="1" x14ac:dyDescent="0.25">
      <c r="A77" s="72"/>
      <c r="B77" s="125"/>
      <c r="C77" s="50" t="s">
        <v>49</v>
      </c>
      <c r="D77" s="64" t="s">
        <v>29</v>
      </c>
      <c r="E77" s="3" t="s">
        <v>29</v>
      </c>
      <c r="F77" s="3" t="s">
        <v>29</v>
      </c>
      <c r="G77" s="3" t="s">
        <v>29</v>
      </c>
      <c r="H77" s="3" t="s">
        <v>29</v>
      </c>
      <c r="I77" s="3" t="s">
        <v>29</v>
      </c>
      <c r="J77" s="3" t="s">
        <v>29</v>
      </c>
      <c r="K77" s="3" t="s">
        <v>29</v>
      </c>
      <c r="L77" s="3" t="s">
        <v>29</v>
      </c>
      <c r="M77" s="3" t="s">
        <v>29</v>
      </c>
      <c r="N77" s="3" t="s">
        <v>29</v>
      </c>
      <c r="O77" s="3" t="s">
        <v>29</v>
      </c>
      <c r="P77" s="3" t="s">
        <v>29</v>
      </c>
      <c r="Q77" s="3" t="s">
        <v>29</v>
      </c>
      <c r="R77" s="3" t="s">
        <v>29</v>
      </c>
      <c r="S77" s="3" t="s">
        <v>29</v>
      </c>
      <c r="T77" s="3" t="s">
        <v>29</v>
      </c>
      <c r="U77" s="3" t="s">
        <v>29</v>
      </c>
      <c r="V77" s="3" t="s">
        <v>29</v>
      </c>
      <c r="W77" s="3" t="s">
        <v>29</v>
      </c>
      <c r="X77" s="3" t="s">
        <v>29</v>
      </c>
      <c r="Y77" s="3" t="s">
        <v>29</v>
      </c>
      <c r="Z77" s="3" t="s">
        <v>29</v>
      </c>
      <c r="AA77" s="3" t="s">
        <v>29</v>
      </c>
      <c r="AB77" s="3" t="s">
        <v>29</v>
      </c>
      <c r="AC77" s="3">
        <v>4</v>
      </c>
      <c r="AD77" s="14">
        <v>6</v>
      </c>
      <c r="AE77" s="14">
        <v>4</v>
      </c>
      <c r="AF77" s="14">
        <v>8</v>
      </c>
      <c r="AG77" s="14" t="s">
        <v>9</v>
      </c>
      <c r="AH77" s="44">
        <f t="shared" si="20"/>
        <v>22</v>
      </c>
      <c r="AI77" s="151"/>
    </row>
    <row r="78" spans="1:35" x14ac:dyDescent="0.25">
      <c r="A78" s="72"/>
      <c r="B78" s="126"/>
      <c r="C78" s="50" t="s">
        <v>51</v>
      </c>
      <c r="D78" s="64" t="s">
        <v>29</v>
      </c>
      <c r="E78" s="3" t="s">
        <v>29</v>
      </c>
      <c r="F78" s="3" t="s">
        <v>29</v>
      </c>
      <c r="G78" s="3" t="s">
        <v>29</v>
      </c>
      <c r="H78" s="3" t="s">
        <v>29</v>
      </c>
      <c r="I78" s="3" t="s">
        <v>29</v>
      </c>
      <c r="J78" s="3" t="s">
        <v>29</v>
      </c>
      <c r="K78" s="3" t="s">
        <v>29</v>
      </c>
      <c r="L78" s="3" t="s">
        <v>29</v>
      </c>
      <c r="M78" s="3" t="s">
        <v>29</v>
      </c>
      <c r="N78" s="3" t="s">
        <v>29</v>
      </c>
      <c r="O78" s="3" t="s">
        <v>29</v>
      </c>
      <c r="P78" s="3" t="s">
        <v>29</v>
      </c>
      <c r="Q78" s="3" t="s">
        <v>29</v>
      </c>
      <c r="R78" s="3" t="s">
        <v>29</v>
      </c>
      <c r="S78" s="3" t="s">
        <v>29</v>
      </c>
      <c r="T78" s="3" t="s">
        <v>29</v>
      </c>
      <c r="U78" s="3" t="s">
        <v>29</v>
      </c>
      <c r="V78" s="3" t="s">
        <v>29</v>
      </c>
      <c r="W78" s="3" t="s">
        <v>29</v>
      </c>
      <c r="X78" s="3" t="s">
        <v>29</v>
      </c>
      <c r="Y78" s="3" t="s">
        <v>29</v>
      </c>
      <c r="Z78" s="3" t="s">
        <v>29</v>
      </c>
      <c r="AA78" s="3" t="s">
        <v>29</v>
      </c>
      <c r="AB78" s="3" t="s">
        <v>29</v>
      </c>
      <c r="AC78" s="3">
        <v>0</v>
      </c>
      <c r="AD78" s="14">
        <v>0</v>
      </c>
      <c r="AE78" s="14">
        <v>0</v>
      </c>
      <c r="AF78" s="14">
        <v>0</v>
      </c>
      <c r="AG78" s="14" t="s">
        <v>9</v>
      </c>
      <c r="AH78" s="44">
        <f t="shared" si="20"/>
        <v>0</v>
      </c>
      <c r="AI78" s="151"/>
    </row>
    <row r="79" spans="1:35" x14ac:dyDescent="0.25">
      <c r="A79" s="72"/>
      <c r="B79" s="127" t="s">
        <v>45</v>
      </c>
      <c r="C79" s="51" t="s">
        <v>46</v>
      </c>
      <c r="D79" s="64" t="s">
        <v>29</v>
      </c>
      <c r="E79" s="3" t="s">
        <v>29</v>
      </c>
      <c r="F79" s="3" t="s">
        <v>29</v>
      </c>
      <c r="G79" s="3" t="s">
        <v>29</v>
      </c>
      <c r="H79" s="3" t="s">
        <v>29</v>
      </c>
      <c r="I79" s="3" t="s">
        <v>29</v>
      </c>
      <c r="J79" s="3" t="s">
        <v>29</v>
      </c>
      <c r="K79" s="3" t="s">
        <v>29</v>
      </c>
      <c r="L79" s="3" t="s">
        <v>29</v>
      </c>
      <c r="M79" s="3" t="s">
        <v>29</v>
      </c>
      <c r="N79" s="3" t="s">
        <v>29</v>
      </c>
      <c r="O79" s="3" t="s">
        <v>29</v>
      </c>
      <c r="P79" s="3" t="s">
        <v>29</v>
      </c>
      <c r="Q79" s="3" t="s">
        <v>29</v>
      </c>
      <c r="R79" s="3" t="s">
        <v>29</v>
      </c>
      <c r="S79" s="3" t="s">
        <v>29</v>
      </c>
      <c r="T79" s="3" t="s">
        <v>29</v>
      </c>
      <c r="U79" s="3" t="s">
        <v>29</v>
      </c>
      <c r="V79" s="3" t="s">
        <v>29</v>
      </c>
      <c r="W79" s="3" t="s">
        <v>29</v>
      </c>
      <c r="X79" s="3" t="s">
        <v>29</v>
      </c>
      <c r="Y79" s="3" t="s">
        <v>29</v>
      </c>
      <c r="Z79" s="3" t="s">
        <v>29</v>
      </c>
      <c r="AA79" s="3" t="s">
        <v>29</v>
      </c>
      <c r="AB79" s="3" t="s">
        <v>29</v>
      </c>
      <c r="AC79" s="3">
        <v>0</v>
      </c>
      <c r="AD79" s="3">
        <v>0</v>
      </c>
      <c r="AE79" s="3">
        <v>0</v>
      </c>
      <c r="AF79" s="3">
        <v>2</v>
      </c>
      <c r="AG79" s="3" t="s">
        <v>9</v>
      </c>
      <c r="AH79" s="44">
        <f t="shared" si="20"/>
        <v>2</v>
      </c>
      <c r="AI79" s="152"/>
    </row>
    <row r="80" spans="1:35" ht="13.5" thickBot="1" x14ac:dyDescent="0.3">
      <c r="A80" s="107"/>
      <c r="B80" s="128"/>
      <c r="C80" s="52" t="s">
        <v>47</v>
      </c>
      <c r="D80" s="67" t="s">
        <v>29</v>
      </c>
      <c r="E80" s="8" t="s">
        <v>29</v>
      </c>
      <c r="F80" s="8" t="s">
        <v>29</v>
      </c>
      <c r="G80" s="8" t="s">
        <v>29</v>
      </c>
      <c r="H80" s="8" t="s">
        <v>29</v>
      </c>
      <c r="I80" s="8" t="s">
        <v>29</v>
      </c>
      <c r="J80" s="8" t="s">
        <v>29</v>
      </c>
      <c r="K80" s="8" t="s">
        <v>29</v>
      </c>
      <c r="L80" s="8" t="s">
        <v>29</v>
      </c>
      <c r="M80" s="8" t="s">
        <v>29</v>
      </c>
      <c r="N80" s="8" t="s">
        <v>29</v>
      </c>
      <c r="O80" s="8" t="s">
        <v>29</v>
      </c>
      <c r="P80" s="8" t="s">
        <v>29</v>
      </c>
      <c r="Q80" s="8" t="s">
        <v>29</v>
      </c>
      <c r="R80" s="8" t="s">
        <v>29</v>
      </c>
      <c r="S80" s="8" t="s">
        <v>29</v>
      </c>
      <c r="T80" s="8" t="s">
        <v>29</v>
      </c>
      <c r="U80" s="8" t="s">
        <v>29</v>
      </c>
      <c r="V80" s="8" t="s">
        <v>29</v>
      </c>
      <c r="W80" s="8" t="s">
        <v>29</v>
      </c>
      <c r="X80" s="8" t="s">
        <v>29</v>
      </c>
      <c r="Y80" s="8" t="s">
        <v>29</v>
      </c>
      <c r="Z80" s="8" t="s">
        <v>29</v>
      </c>
      <c r="AA80" s="8" t="s">
        <v>29</v>
      </c>
      <c r="AB80" s="8" t="s">
        <v>29</v>
      </c>
      <c r="AC80" s="8">
        <v>0</v>
      </c>
      <c r="AD80" s="8">
        <v>0</v>
      </c>
      <c r="AE80" s="8">
        <v>0</v>
      </c>
      <c r="AF80" s="8">
        <v>0</v>
      </c>
      <c r="AG80" s="8" t="s">
        <v>9</v>
      </c>
      <c r="AH80" s="8">
        <f t="shared" si="20"/>
        <v>0</v>
      </c>
      <c r="AI80" s="153"/>
    </row>
    <row r="81" spans="1:35" x14ac:dyDescent="0.25">
      <c r="A81" s="106" t="s">
        <v>76</v>
      </c>
      <c r="B81" s="124" t="s">
        <v>18</v>
      </c>
      <c r="C81" s="49" t="s">
        <v>48</v>
      </c>
      <c r="D81" s="7">
        <v>0</v>
      </c>
      <c r="E81" s="7" t="s">
        <v>9</v>
      </c>
      <c r="F81" s="7">
        <v>0</v>
      </c>
      <c r="G81" s="7">
        <v>1</v>
      </c>
      <c r="H81" s="7">
        <v>1</v>
      </c>
      <c r="I81" s="7">
        <v>4</v>
      </c>
      <c r="J81" s="7">
        <v>9</v>
      </c>
      <c r="K81" s="7" t="s">
        <v>9</v>
      </c>
      <c r="L81" s="7" t="s">
        <v>9</v>
      </c>
      <c r="M81" s="7">
        <v>0</v>
      </c>
      <c r="N81" s="7">
        <v>0</v>
      </c>
      <c r="O81" s="7">
        <v>0</v>
      </c>
      <c r="P81" s="7">
        <v>0</v>
      </c>
      <c r="Q81" s="20">
        <v>0</v>
      </c>
      <c r="R81" s="7" t="s">
        <v>9</v>
      </c>
      <c r="S81" s="7" t="s">
        <v>9</v>
      </c>
      <c r="T81" s="7">
        <v>0</v>
      </c>
      <c r="U81" s="7">
        <v>1</v>
      </c>
      <c r="V81" s="7" t="s">
        <v>29</v>
      </c>
      <c r="W81" s="7" t="s">
        <v>29</v>
      </c>
      <c r="X81" s="7" t="s">
        <v>29</v>
      </c>
      <c r="Y81" s="7" t="s">
        <v>29</v>
      </c>
      <c r="Z81" s="7" t="s">
        <v>29</v>
      </c>
      <c r="AA81" s="7" t="s">
        <v>29</v>
      </c>
      <c r="AB81" s="7" t="s">
        <v>29</v>
      </c>
      <c r="AC81" s="7" t="s">
        <v>29</v>
      </c>
      <c r="AD81" s="7" t="s">
        <v>29</v>
      </c>
      <c r="AE81" s="7" t="s">
        <v>29</v>
      </c>
      <c r="AF81" s="7" t="s">
        <v>29</v>
      </c>
      <c r="AG81" s="7" t="s">
        <v>29</v>
      </c>
      <c r="AH81" s="23">
        <f t="shared" ref="AH81:AH86" si="22">SUM(D81:AG81)</f>
        <v>16</v>
      </c>
      <c r="AI81" s="154">
        <f t="shared" ref="AI81" si="23">SUM(AH81:AH86)</f>
        <v>146</v>
      </c>
    </row>
    <row r="82" spans="1:35" x14ac:dyDescent="0.25">
      <c r="A82" s="72"/>
      <c r="B82" s="125"/>
      <c r="C82" s="50" t="s">
        <v>50</v>
      </c>
      <c r="D82" s="14">
        <v>0</v>
      </c>
      <c r="E82" s="14" t="s">
        <v>9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14" t="s">
        <v>9</v>
      </c>
      <c r="L82" s="14" t="s">
        <v>9</v>
      </c>
      <c r="M82" s="3">
        <v>0</v>
      </c>
      <c r="N82" s="14">
        <v>0</v>
      </c>
      <c r="O82" s="14">
        <v>1</v>
      </c>
      <c r="P82" s="3">
        <v>0</v>
      </c>
      <c r="Q82" s="17">
        <v>1</v>
      </c>
      <c r="R82" s="14" t="s">
        <v>9</v>
      </c>
      <c r="S82" s="14" t="s">
        <v>9</v>
      </c>
      <c r="T82" s="3">
        <v>1</v>
      </c>
      <c r="U82" s="14">
        <v>0</v>
      </c>
      <c r="V82" s="14" t="s">
        <v>29</v>
      </c>
      <c r="W82" s="3" t="s">
        <v>29</v>
      </c>
      <c r="X82" s="3" t="s">
        <v>29</v>
      </c>
      <c r="Y82" s="3" t="s">
        <v>29</v>
      </c>
      <c r="Z82" s="3" t="s">
        <v>29</v>
      </c>
      <c r="AA82" s="3" t="s">
        <v>29</v>
      </c>
      <c r="AB82" s="14" t="s">
        <v>29</v>
      </c>
      <c r="AC82" s="14" t="s">
        <v>29</v>
      </c>
      <c r="AD82" s="3" t="s">
        <v>29</v>
      </c>
      <c r="AE82" s="3" t="s">
        <v>29</v>
      </c>
      <c r="AF82" s="3" t="s">
        <v>29</v>
      </c>
      <c r="AG82" s="3" t="s">
        <v>29</v>
      </c>
      <c r="AH82" s="24">
        <f t="shared" si="22"/>
        <v>3</v>
      </c>
      <c r="AI82" s="151"/>
    </row>
    <row r="83" spans="1:35" x14ac:dyDescent="0.25">
      <c r="A83" s="72"/>
      <c r="B83" s="125"/>
      <c r="C83" s="50" t="s">
        <v>49</v>
      </c>
      <c r="D83" s="14">
        <v>0</v>
      </c>
      <c r="E83" s="14" t="s">
        <v>9</v>
      </c>
      <c r="F83" s="3">
        <v>0</v>
      </c>
      <c r="G83" s="3">
        <v>2</v>
      </c>
      <c r="H83" s="3">
        <v>2</v>
      </c>
      <c r="I83" s="3">
        <v>1</v>
      </c>
      <c r="J83" s="3">
        <v>13</v>
      </c>
      <c r="K83" s="14" t="s">
        <v>9</v>
      </c>
      <c r="L83" s="14" t="s">
        <v>9</v>
      </c>
      <c r="M83" s="3">
        <v>4</v>
      </c>
      <c r="N83" s="14">
        <v>4</v>
      </c>
      <c r="O83" s="14">
        <v>12</v>
      </c>
      <c r="P83" s="3">
        <v>1</v>
      </c>
      <c r="Q83" s="17">
        <v>4</v>
      </c>
      <c r="R83" s="14" t="s">
        <v>9</v>
      </c>
      <c r="S83" s="14" t="s">
        <v>9</v>
      </c>
      <c r="T83" s="3">
        <v>1</v>
      </c>
      <c r="U83" s="14">
        <v>4</v>
      </c>
      <c r="V83" s="14" t="s">
        <v>29</v>
      </c>
      <c r="W83" s="3" t="s">
        <v>29</v>
      </c>
      <c r="X83" s="3" t="s">
        <v>29</v>
      </c>
      <c r="Y83" s="3" t="s">
        <v>29</v>
      </c>
      <c r="Z83" s="3" t="s">
        <v>29</v>
      </c>
      <c r="AA83" s="3" t="s">
        <v>29</v>
      </c>
      <c r="AB83" s="14" t="s">
        <v>29</v>
      </c>
      <c r="AC83" s="14" t="s">
        <v>29</v>
      </c>
      <c r="AD83" s="3" t="s">
        <v>29</v>
      </c>
      <c r="AE83" s="3" t="s">
        <v>29</v>
      </c>
      <c r="AF83" s="3" t="s">
        <v>29</v>
      </c>
      <c r="AG83" s="3" t="s">
        <v>29</v>
      </c>
      <c r="AH83" s="24">
        <f t="shared" si="22"/>
        <v>48</v>
      </c>
      <c r="AI83" s="151"/>
    </row>
    <row r="84" spans="1:35" x14ac:dyDescent="0.25">
      <c r="A84" s="72"/>
      <c r="B84" s="126"/>
      <c r="C84" s="50" t="s">
        <v>51</v>
      </c>
      <c r="D84" s="14">
        <v>0</v>
      </c>
      <c r="E84" s="14" t="s">
        <v>9</v>
      </c>
      <c r="F84" s="3">
        <v>0</v>
      </c>
      <c r="G84" s="3">
        <v>5</v>
      </c>
      <c r="H84" s="3">
        <v>0</v>
      </c>
      <c r="I84" s="3">
        <v>4</v>
      </c>
      <c r="J84" s="3">
        <v>1</v>
      </c>
      <c r="K84" s="14" t="s">
        <v>9</v>
      </c>
      <c r="L84" s="14" t="s">
        <v>9</v>
      </c>
      <c r="M84" s="3">
        <v>3</v>
      </c>
      <c r="N84" s="14">
        <v>0</v>
      </c>
      <c r="O84" s="14">
        <v>4</v>
      </c>
      <c r="P84" s="3">
        <v>2</v>
      </c>
      <c r="Q84" s="17">
        <v>1</v>
      </c>
      <c r="R84" s="14" t="s">
        <v>9</v>
      </c>
      <c r="S84" s="14" t="s">
        <v>9</v>
      </c>
      <c r="T84" s="3">
        <v>1</v>
      </c>
      <c r="U84" s="14">
        <v>5</v>
      </c>
      <c r="V84" s="14" t="s">
        <v>29</v>
      </c>
      <c r="W84" s="3" t="s">
        <v>29</v>
      </c>
      <c r="X84" s="3" t="s">
        <v>29</v>
      </c>
      <c r="Y84" s="3" t="s">
        <v>29</v>
      </c>
      <c r="Z84" s="3" t="s">
        <v>29</v>
      </c>
      <c r="AA84" s="3" t="s">
        <v>29</v>
      </c>
      <c r="AB84" s="14" t="s">
        <v>29</v>
      </c>
      <c r="AC84" s="14" t="s">
        <v>29</v>
      </c>
      <c r="AD84" s="3" t="s">
        <v>29</v>
      </c>
      <c r="AE84" s="3" t="s">
        <v>29</v>
      </c>
      <c r="AF84" s="3" t="s">
        <v>29</v>
      </c>
      <c r="AG84" s="3" t="s">
        <v>29</v>
      </c>
      <c r="AH84" s="24">
        <f t="shared" si="22"/>
        <v>26</v>
      </c>
      <c r="AI84" s="151"/>
    </row>
    <row r="85" spans="1:35" x14ac:dyDescent="0.25">
      <c r="A85" s="72"/>
      <c r="B85" s="127" t="s">
        <v>45</v>
      </c>
      <c r="C85" s="51" t="s">
        <v>46</v>
      </c>
      <c r="D85" s="3">
        <v>1</v>
      </c>
      <c r="E85" s="3" t="s">
        <v>9</v>
      </c>
      <c r="F85" s="3">
        <v>1</v>
      </c>
      <c r="G85" s="3">
        <v>4</v>
      </c>
      <c r="H85" s="3">
        <v>0</v>
      </c>
      <c r="I85" s="3">
        <v>8</v>
      </c>
      <c r="J85" s="3">
        <v>12</v>
      </c>
      <c r="K85" s="3" t="s">
        <v>9</v>
      </c>
      <c r="L85" s="3" t="s">
        <v>9</v>
      </c>
      <c r="M85" s="3">
        <v>4</v>
      </c>
      <c r="N85" s="3">
        <v>2</v>
      </c>
      <c r="O85" s="3">
        <v>4</v>
      </c>
      <c r="P85" s="3">
        <v>2</v>
      </c>
      <c r="Q85" s="17">
        <v>5</v>
      </c>
      <c r="R85" s="3" t="s">
        <v>9</v>
      </c>
      <c r="S85" s="3" t="s">
        <v>9</v>
      </c>
      <c r="T85" s="3">
        <v>4</v>
      </c>
      <c r="U85" s="3">
        <v>5</v>
      </c>
      <c r="V85" s="3" t="s">
        <v>29</v>
      </c>
      <c r="W85" s="3" t="s">
        <v>29</v>
      </c>
      <c r="X85" s="3" t="s">
        <v>29</v>
      </c>
      <c r="Y85" s="3" t="s">
        <v>29</v>
      </c>
      <c r="Z85" s="3" t="s">
        <v>29</v>
      </c>
      <c r="AA85" s="3" t="s">
        <v>29</v>
      </c>
      <c r="AB85" s="3" t="s">
        <v>29</v>
      </c>
      <c r="AC85" s="3" t="s">
        <v>29</v>
      </c>
      <c r="AD85" s="3" t="s">
        <v>29</v>
      </c>
      <c r="AE85" s="3" t="s">
        <v>29</v>
      </c>
      <c r="AF85" s="3" t="s">
        <v>29</v>
      </c>
      <c r="AG85" s="3" t="s">
        <v>29</v>
      </c>
      <c r="AH85" s="24">
        <f t="shared" si="22"/>
        <v>52</v>
      </c>
      <c r="AI85" s="152"/>
    </row>
    <row r="86" spans="1:35" ht="13.5" thickBot="1" x14ac:dyDescent="0.3">
      <c r="A86" s="107"/>
      <c r="B86" s="128"/>
      <c r="C86" s="52" t="s">
        <v>47</v>
      </c>
      <c r="D86" s="8">
        <v>0</v>
      </c>
      <c r="E86" s="8" t="s">
        <v>9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 t="s">
        <v>9</v>
      </c>
      <c r="L86" s="8" t="s">
        <v>9</v>
      </c>
      <c r="M86" s="8">
        <v>0</v>
      </c>
      <c r="N86" s="8">
        <v>0</v>
      </c>
      <c r="O86" s="8">
        <v>0</v>
      </c>
      <c r="P86" s="8">
        <v>0</v>
      </c>
      <c r="Q86" s="21">
        <v>1</v>
      </c>
      <c r="R86" s="8" t="s">
        <v>9</v>
      </c>
      <c r="S86" s="8" t="s">
        <v>9</v>
      </c>
      <c r="T86" s="8">
        <v>0</v>
      </c>
      <c r="U86" s="8">
        <v>0</v>
      </c>
      <c r="V86" s="8" t="s">
        <v>29</v>
      </c>
      <c r="W86" s="8" t="s">
        <v>29</v>
      </c>
      <c r="X86" s="8" t="s">
        <v>29</v>
      </c>
      <c r="Y86" s="8" t="s">
        <v>29</v>
      </c>
      <c r="Z86" s="8" t="s">
        <v>29</v>
      </c>
      <c r="AA86" s="8" t="s">
        <v>29</v>
      </c>
      <c r="AB86" s="8" t="s">
        <v>29</v>
      </c>
      <c r="AC86" s="8" t="s">
        <v>29</v>
      </c>
      <c r="AD86" s="8" t="s">
        <v>29</v>
      </c>
      <c r="AE86" s="8" t="s">
        <v>29</v>
      </c>
      <c r="AF86" s="8" t="s">
        <v>29</v>
      </c>
      <c r="AG86" s="8" t="s">
        <v>29</v>
      </c>
      <c r="AH86" s="25">
        <f t="shared" si="22"/>
        <v>1</v>
      </c>
      <c r="AI86" s="153"/>
    </row>
    <row r="87" spans="1:35" x14ac:dyDescent="0.25">
      <c r="A87" s="123" t="s">
        <v>35</v>
      </c>
      <c r="B87" s="125" t="s">
        <v>18</v>
      </c>
      <c r="C87" s="50" t="s">
        <v>48</v>
      </c>
      <c r="D87" s="14" t="s">
        <v>10</v>
      </c>
      <c r="E87" s="14" t="s">
        <v>10</v>
      </c>
      <c r="F87" s="14" t="s">
        <v>10</v>
      </c>
      <c r="G87" s="14" t="s">
        <v>10</v>
      </c>
      <c r="H87" s="14" t="s">
        <v>10</v>
      </c>
      <c r="I87" s="14" t="s">
        <v>10</v>
      </c>
      <c r="J87" s="14" t="s">
        <v>10</v>
      </c>
      <c r="K87" s="14" t="s">
        <v>10</v>
      </c>
      <c r="L87" s="14" t="s">
        <v>10</v>
      </c>
      <c r="M87" s="14" t="s">
        <v>10</v>
      </c>
      <c r="N87" s="14" t="s">
        <v>10</v>
      </c>
      <c r="O87" s="14" t="s">
        <v>10</v>
      </c>
      <c r="P87" s="14" t="s">
        <v>10</v>
      </c>
      <c r="Q87" s="14" t="s">
        <v>10</v>
      </c>
      <c r="R87" s="14" t="s">
        <v>10</v>
      </c>
      <c r="S87" s="14" t="s">
        <v>10</v>
      </c>
      <c r="T87" s="14" t="s">
        <v>10</v>
      </c>
      <c r="U87" s="14" t="s">
        <v>10</v>
      </c>
      <c r="V87" s="14" t="s">
        <v>10</v>
      </c>
      <c r="W87" s="14" t="s">
        <v>10</v>
      </c>
      <c r="X87" s="14" t="s">
        <v>10</v>
      </c>
      <c r="Y87" s="14" t="s">
        <v>10</v>
      </c>
      <c r="Z87" s="14" t="s">
        <v>10</v>
      </c>
      <c r="AA87" s="14" t="s">
        <v>10</v>
      </c>
      <c r="AB87" s="14" t="s">
        <v>10</v>
      </c>
      <c r="AC87" s="14" t="s">
        <v>10</v>
      </c>
      <c r="AD87" s="14" t="s">
        <v>10</v>
      </c>
      <c r="AE87" s="14" t="s">
        <v>10</v>
      </c>
      <c r="AF87" s="14" t="s">
        <v>10</v>
      </c>
      <c r="AG87" s="14" t="s">
        <v>10</v>
      </c>
      <c r="AH87" s="63">
        <f t="shared" ref="AH87:AH92" si="24">SUM(D87:AG87)</f>
        <v>0</v>
      </c>
      <c r="AI87" s="158">
        <f>SUM(AH87:AH92)</f>
        <v>0</v>
      </c>
    </row>
    <row r="88" spans="1:35" x14ac:dyDescent="0.25">
      <c r="A88" s="123"/>
      <c r="B88" s="125"/>
      <c r="C88" s="50" t="s">
        <v>50</v>
      </c>
      <c r="D88" s="14" t="s">
        <v>10</v>
      </c>
      <c r="E88" s="14" t="s">
        <v>10</v>
      </c>
      <c r="F88" s="14" t="s">
        <v>10</v>
      </c>
      <c r="G88" s="14" t="s">
        <v>10</v>
      </c>
      <c r="H88" s="14" t="s">
        <v>10</v>
      </c>
      <c r="I88" s="14" t="s">
        <v>10</v>
      </c>
      <c r="J88" s="14" t="s">
        <v>10</v>
      </c>
      <c r="K88" s="14" t="s">
        <v>10</v>
      </c>
      <c r="L88" s="14" t="s">
        <v>10</v>
      </c>
      <c r="M88" s="14" t="s">
        <v>10</v>
      </c>
      <c r="N88" s="14" t="s">
        <v>10</v>
      </c>
      <c r="O88" s="14" t="s">
        <v>10</v>
      </c>
      <c r="P88" s="14" t="s">
        <v>10</v>
      </c>
      <c r="Q88" s="14" t="s">
        <v>10</v>
      </c>
      <c r="R88" s="14" t="s">
        <v>10</v>
      </c>
      <c r="S88" s="14" t="s">
        <v>10</v>
      </c>
      <c r="T88" s="14" t="s">
        <v>10</v>
      </c>
      <c r="U88" s="14" t="s">
        <v>10</v>
      </c>
      <c r="V88" s="14" t="s">
        <v>10</v>
      </c>
      <c r="W88" s="14" t="s">
        <v>10</v>
      </c>
      <c r="X88" s="14" t="s">
        <v>10</v>
      </c>
      <c r="Y88" s="14" t="s">
        <v>10</v>
      </c>
      <c r="Z88" s="14" t="s">
        <v>10</v>
      </c>
      <c r="AA88" s="14" t="s">
        <v>10</v>
      </c>
      <c r="AB88" s="14" t="s">
        <v>10</v>
      </c>
      <c r="AC88" s="14" t="s">
        <v>10</v>
      </c>
      <c r="AD88" s="14" t="s">
        <v>10</v>
      </c>
      <c r="AE88" s="14" t="s">
        <v>10</v>
      </c>
      <c r="AF88" s="14" t="s">
        <v>10</v>
      </c>
      <c r="AG88" s="14" t="s">
        <v>10</v>
      </c>
      <c r="AH88" s="55">
        <f t="shared" si="24"/>
        <v>0</v>
      </c>
      <c r="AI88" s="158"/>
    </row>
    <row r="89" spans="1:35" s="5" customFormat="1" x14ac:dyDescent="0.25">
      <c r="A89" s="123"/>
      <c r="B89" s="125"/>
      <c r="C89" s="50" t="s">
        <v>49</v>
      </c>
      <c r="D89" s="14" t="s">
        <v>10</v>
      </c>
      <c r="E89" s="14" t="s">
        <v>10</v>
      </c>
      <c r="F89" s="14" t="s">
        <v>10</v>
      </c>
      <c r="G89" s="14" t="s">
        <v>10</v>
      </c>
      <c r="H89" s="14" t="s">
        <v>10</v>
      </c>
      <c r="I89" s="14" t="s">
        <v>10</v>
      </c>
      <c r="J89" s="14" t="s">
        <v>10</v>
      </c>
      <c r="K89" s="14" t="s">
        <v>10</v>
      </c>
      <c r="L89" s="14" t="s">
        <v>10</v>
      </c>
      <c r="M89" s="14" t="s">
        <v>10</v>
      </c>
      <c r="N89" s="14" t="s">
        <v>10</v>
      </c>
      <c r="O89" s="14" t="s">
        <v>10</v>
      </c>
      <c r="P89" s="14" t="s">
        <v>10</v>
      </c>
      <c r="Q89" s="14" t="s">
        <v>10</v>
      </c>
      <c r="R89" s="14" t="s">
        <v>10</v>
      </c>
      <c r="S89" s="14" t="s">
        <v>10</v>
      </c>
      <c r="T89" s="14" t="s">
        <v>10</v>
      </c>
      <c r="U89" s="14" t="s">
        <v>10</v>
      </c>
      <c r="V89" s="14" t="s">
        <v>10</v>
      </c>
      <c r="W89" s="14" t="s">
        <v>10</v>
      </c>
      <c r="X89" s="14" t="s">
        <v>10</v>
      </c>
      <c r="Y89" s="14" t="s">
        <v>10</v>
      </c>
      <c r="Z89" s="14" t="s">
        <v>10</v>
      </c>
      <c r="AA89" s="14" t="s">
        <v>10</v>
      </c>
      <c r="AB89" s="14" t="s">
        <v>10</v>
      </c>
      <c r="AC89" s="14" t="s">
        <v>10</v>
      </c>
      <c r="AD89" s="14" t="s">
        <v>10</v>
      </c>
      <c r="AE89" s="14" t="s">
        <v>10</v>
      </c>
      <c r="AF89" s="14" t="s">
        <v>10</v>
      </c>
      <c r="AG89" s="14" t="s">
        <v>10</v>
      </c>
      <c r="AH89" s="55">
        <f t="shared" si="24"/>
        <v>0</v>
      </c>
      <c r="AI89" s="158"/>
    </row>
    <row r="90" spans="1:35" x14ac:dyDescent="0.25">
      <c r="A90" s="123"/>
      <c r="B90" s="126"/>
      <c r="C90" s="50" t="s">
        <v>51</v>
      </c>
      <c r="D90" s="14" t="s">
        <v>10</v>
      </c>
      <c r="E90" s="14" t="s">
        <v>10</v>
      </c>
      <c r="F90" s="14" t="s">
        <v>10</v>
      </c>
      <c r="G90" s="14" t="s">
        <v>10</v>
      </c>
      <c r="H90" s="14" t="s">
        <v>10</v>
      </c>
      <c r="I90" s="14" t="s">
        <v>10</v>
      </c>
      <c r="J90" s="14" t="s">
        <v>10</v>
      </c>
      <c r="K90" s="14" t="s">
        <v>10</v>
      </c>
      <c r="L90" s="14" t="s">
        <v>10</v>
      </c>
      <c r="M90" s="14" t="s">
        <v>10</v>
      </c>
      <c r="N90" s="14" t="s">
        <v>10</v>
      </c>
      <c r="O90" s="14" t="s">
        <v>10</v>
      </c>
      <c r="P90" s="14" t="s">
        <v>10</v>
      </c>
      <c r="Q90" s="14" t="s">
        <v>10</v>
      </c>
      <c r="R90" s="14" t="s">
        <v>10</v>
      </c>
      <c r="S90" s="14" t="s">
        <v>10</v>
      </c>
      <c r="T90" s="14" t="s">
        <v>10</v>
      </c>
      <c r="U90" s="14" t="s">
        <v>10</v>
      </c>
      <c r="V90" s="14" t="s">
        <v>10</v>
      </c>
      <c r="W90" s="14" t="s">
        <v>10</v>
      </c>
      <c r="X90" s="14" t="s">
        <v>10</v>
      </c>
      <c r="Y90" s="14" t="s">
        <v>10</v>
      </c>
      <c r="Z90" s="14" t="s">
        <v>10</v>
      </c>
      <c r="AA90" s="14" t="s">
        <v>10</v>
      </c>
      <c r="AB90" s="14" t="s">
        <v>10</v>
      </c>
      <c r="AC90" s="14" t="s">
        <v>10</v>
      </c>
      <c r="AD90" s="14" t="s">
        <v>10</v>
      </c>
      <c r="AE90" s="14" t="s">
        <v>10</v>
      </c>
      <c r="AF90" s="14" t="s">
        <v>10</v>
      </c>
      <c r="AG90" s="14" t="s">
        <v>10</v>
      </c>
      <c r="AH90" s="55">
        <f t="shared" si="24"/>
        <v>0</v>
      </c>
      <c r="AI90" s="158"/>
    </row>
    <row r="91" spans="1:35" x14ac:dyDescent="0.25">
      <c r="A91" s="72"/>
      <c r="B91" s="127" t="s">
        <v>45</v>
      </c>
      <c r="C91" s="51" t="s">
        <v>46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  <c r="AH91" s="55">
        <f t="shared" si="24"/>
        <v>0</v>
      </c>
      <c r="AI91" s="158"/>
    </row>
    <row r="92" spans="1:35" ht="13.5" thickBot="1" x14ac:dyDescent="0.3">
      <c r="A92" s="107"/>
      <c r="B92" s="128"/>
      <c r="C92" s="52" t="s">
        <v>47</v>
      </c>
      <c r="D92" s="8" t="s">
        <v>10</v>
      </c>
      <c r="E92" s="8" t="s">
        <v>10</v>
      </c>
      <c r="F92" s="8" t="s">
        <v>10</v>
      </c>
      <c r="G92" s="8" t="s">
        <v>10</v>
      </c>
      <c r="H92" s="8" t="s">
        <v>10</v>
      </c>
      <c r="I92" s="8" t="s">
        <v>10</v>
      </c>
      <c r="J92" s="8" t="s">
        <v>10</v>
      </c>
      <c r="K92" s="8" t="s">
        <v>10</v>
      </c>
      <c r="L92" s="8" t="s">
        <v>10</v>
      </c>
      <c r="M92" s="8" t="s">
        <v>10</v>
      </c>
      <c r="N92" s="8" t="s">
        <v>10</v>
      </c>
      <c r="O92" s="8" t="s">
        <v>10</v>
      </c>
      <c r="P92" s="8" t="s">
        <v>10</v>
      </c>
      <c r="Q92" s="8" t="s">
        <v>10</v>
      </c>
      <c r="R92" s="8" t="s">
        <v>10</v>
      </c>
      <c r="S92" s="8" t="s">
        <v>10</v>
      </c>
      <c r="T92" s="8" t="s">
        <v>10</v>
      </c>
      <c r="U92" s="8" t="s">
        <v>10</v>
      </c>
      <c r="V92" s="8" t="s">
        <v>10</v>
      </c>
      <c r="W92" s="8" t="s">
        <v>10</v>
      </c>
      <c r="X92" s="8" t="s">
        <v>10</v>
      </c>
      <c r="Y92" s="8" t="s">
        <v>10</v>
      </c>
      <c r="Z92" s="8" t="s">
        <v>10</v>
      </c>
      <c r="AA92" s="8" t="s">
        <v>10</v>
      </c>
      <c r="AB92" s="8" t="s">
        <v>10</v>
      </c>
      <c r="AC92" s="8" t="s">
        <v>10</v>
      </c>
      <c r="AD92" s="8" t="s">
        <v>10</v>
      </c>
      <c r="AE92" s="8" t="s">
        <v>10</v>
      </c>
      <c r="AF92" s="8" t="s">
        <v>10</v>
      </c>
      <c r="AG92" s="8" t="s">
        <v>10</v>
      </c>
      <c r="AH92" s="56">
        <f t="shared" si="24"/>
        <v>0</v>
      </c>
      <c r="AI92" s="159"/>
    </row>
    <row r="93" spans="1:35" ht="13.5" thickBot="1" x14ac:dyDescent="0.3">
      <c r="A93" s="110" t="s">
        <v>1</v>
      </c>
      <c r="B93" s="141"/>
      <c r="C93" s="111"/>
      <c r="D93" s="9">
        <f>SUM(D21:D92)</f>
        <v>57</v>
      </c>
      <c r="E93" s="9">
        <f t="shared" ref="E93:AH93" si="25">SUM(E21:E92)</f>
        <v>42</v>
      </c>
      <c r="F93" s="9">
        <f t="shared" si="25"/>
        <v>141</v>
      </c>
      <c r="G93" s="9">
        <f t="shared" si="25"/>
        <v>258</v>
      </c>
      <c r="H93" s="9">
        <f t="shared" si="25"/>
        <v>175</v>
      </c>
      <c r="I93" s="9">
        <f t="shared" si="25"/>
        <v>153</v>
      </c>
      <c r="J93" s="9">
        <f t="shared" si="25"/>
        <v>173</v>
      </c>
      <c r="K93" s="9">
        <f t="shared" si="25"/>
        <v>79</v>
      </c>
      <c r="L93" s="9">
        <f t="shared" si="25"/>
        <v>38</v>
      </c>
      <c r="M93" s="9">
        <f t="shared" si="25"/>
        <v>126</v>
      </c>
      <c r="N93" s="9">
        <f t="shared" si="25"/>
        <v>130</v>
      </c>
      <c r="O93" s="9">
        <f t="shared" si="25"/>
        <v>184</v>
      </c>
      <c r="P93" s="9">
        <f t="shared" si="25"/>
        <v>85</v>
      </c>
      <c r="Q93" s="9">
        <f t="shared" si="25"/>
        <v>161</v>
      </c>
      <c r="R93" s="9">
        <f t="shared" si="25"/>
        <v>0</v>
      </c>
      <c r="S93" s="9">
        <f t="shared" si="25"/>
        <v>0</v>
      </c>
      <c r="T93" s="9">
        <f t="shared" si="25"/>
        <v>158</v>
      </c>
      <c r="U93" s="9">
        <f t="shared" si="25"/>
        <v>151</v>
      </c>
      <c r="V93" s="9">
        <f t="shared" si="25"/>
        <v>180</v>
      </c>
      <c r="W93" s="9">
        <f t="shared" si="25"/>
        <v>53</v>
      </c>
      <c r="X93" s="9">
        <f t="shared" si="25"/>
        <v>274</v>
      </c>
      <c r="Y93" s="9">
        <f t="shared" si="25"/>
        <v>144</v>
      </c>
      <c r="Z93" s="9">
        <f t="shared" si="25"/>
        <v>26</v>
      </c>
      <c r="AA93" s="9">
        <f t="shared" si="25"/>
        <v>191</v>
      </c>
      <c r="AB93" s="9">
        <f t="shared" si="25"/>
        <v>342</v>
      </c>
      <c r="AC93" s="9">
        <f t="shared" si="25"/>
        <v>213</v>
      </c>
      <c r="AD93" s="9">
        <f t="shared" si="25"/>
        <v>133</v>
      </c>
      <c r="AE93" s="9">
        <f t="shared" si="25"/>
        <v>181</v>
      </c>
      <c r="AF93" s="9">
        <f t="shared" si="25"/>
        <v>42</v>
      </c>
      <c r="AG93" s="9">
        <f t="shared" si="25"/>
        <v>0</v>
      </c>
      <c r="AH93" s="9">
        <f t="shared" si="25"/>
        <v>3890</v>
      </c>
      <c r="AI93" s="33">
        <f>SUM(AI21:AI92)</f>
        <v>3890</v>
      </c>
    </row>
    <row r="95" spans="1:35" x14ac:dyDescent="0.25">
      <c r="A95" s="5"/>
      <c r="B95" s="5"/>
      <c r="C95" s="5"/>
      <c r="D95" s="1" t="s">
        <v>10</v>
      </c>
      <c r="E95" s="109" t="s">
        <v>11</v>
      </c>
      <c r="F95" s="109"/>
      <c r="G95" s="6"/>
      <c r="H95" s="1" t="s">
        <v>9</v>
      </c>
      <c r="I95" s="109" t="s">
        <v>12</v>
      </c>
      <c r="J95" s="109"/>
      <c r="K95" s="6"/>
      <c r="L95" s="1" t="s">
        <v>13</v>
      </c>
      <c r="M95" s="109" t="s">
        <v>14</v>
      </c>
      <c r="N95" s="109"/>
      <c r="O95" s="109"/>
      <c r="P95" s="109"/>
      <c r="Q95" s="109"/>
      <c r="R95" s="6"/>
      <c r="S95" s="1" t="s">
        <v>15</v>
      </c>
      <c r="T95" s="109" t="s">
        <v>16</v>
      </c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</row>
    <row r="96" spans="1:35" x14ac:dyDescent="0.25">
      <c r="H96" s="1" t="s">
        <v>55</v>
      </c>
      <c r="I96" s="109" t="s">
        <v>56</v>
      </c>
      <c r="J96" s="109"/>
    </row>
    <row r="98" spans="15:15" x14ac:dyDescent="0.25">
      <c r="O98" s="2"/>
    </row>
    <row r="99" spans="15:15" x14ac:dyDescent="0.25">
      <c r="O99" s="2"/>
    </row>
    <row r="100" spans="15:15" x14ac:dyDescent="0.25">
      <c r="O100" s="2"/>
    </row>
    <row r="101" spans="15:15" x14ac:dyDescent="0.25">
      <c r="O101" s="2"/>
    </row>
    <row r="102" spans="15:15" x14ac:dyDescent="0.25">
      <c r="O102" s="2"/>
    </row>
    <row r="103" spans="15:15" x14ac:dyDescent="0.25">
      <c r="O103" s="2"/>
    </row>
  </sheetData>
  <mergeCells count="88">
    <mergeCell ref="A18:AI18"/>
    <mergeCell ref="A19:A20"/>
    <mergeCell ref="B19:C20"/>
    <mergeCell ref="A9:C9"/>
    <mergeCell ref="AH9:AI9"/>
    <mergeCell ref="A14:C14"/>
    <mergeCell ref="AH14:AI14"/>
    <mergeCell ref="AH16:AI16"/>
    <mergeCell ref="A15:C15"/>
    <mergeCell ref="AH15:AI15"/>
    <mergeCell ref="AH19:AH20"/>
    <mergeCell ref="AI19:AI20"/>
    <mergeCell ref="A13:C13"/>
    <mergeCell ref="AH13:AI13"/>
    <mergeCell ref="A12:C12"/>
    <mergeCell ref="AH12:AI12"/>
    <mergeCell ref="B39:B42"/>
    <mergeCell ref="AI39:AI44"/>
    <mergeCell ref="B43:B44"/>
    <mergeCell ref="A21:A26"/>
    <mergeCell ref="B21:B24"/>
    <mergeCell ref="AI21:AI26"/>
    <mergeCell ref="B25:B26"/>
    <mergeCell ref="A1:AI1"/>
    <mergeCell ref="A2:C3"/>
    <mergeCell ref="AH2:AI3"/>
    <mergeCell ref="A4:C4"/>
    <mergeCell ref="AH4:AI4"/>
    <mergeCell ref="A5:C5"/>
    <mergeCell ref="AH5:AI5"/>
    <mergeCell ref="A8:C8"/>
    <mergeCell ref="AH8:AI8"/>
    <mergeCell ref="AH11:AI11"/>
    <mergeCell ref="A10:C10"/>
    <mergeCell ref="AH10:AI10"/>
    <mergeCell ref="A6:C6"/>
    <mergeCell ref="AH6:AI6"/>
    <mergeCell ref="A7:C7"/>
    <mergeCell ref="AH7:AI7"/>
    <mergeCell ref="A11:C11"/>
    <mergeCell ref="A16:C16"/>
    <mergeCell ref="A45:A50"/>
    <mergeCell ref="B45:B48"/>
    <mergeCell ref="AI51:AI56"/>
    <mergeCell ref="B55:B56"/>
    <mergeCell ref="A51:A56"/>
    <mergeCell ref="B51:B54"/>
    <mergeCell ref="AI33:AI38"/>
    <mergeCell ref="B37:B38"/>
    <mergeCell ref="A27:A32"/>
    <mergeCell ref="B27:B30"/>
    <mergeCell ref="AI27:AI32"/>
    <mergeCell ref="B31:B32"/>
    <mergeCell ref="A33:A38"/>
    <mergeCell ref="B33:B36"/>
    <mergeCell ref="A39:A44"/>
    <mergeCell ref="I96:J96"/>
    <mergeCell ref="E95:F95"/>
    <mergeCell ref="I95:J95"/>
    <mergeCell ref="AI45:AI50"/>
    <mergeCell ref="B49:B50"/>
    <mergeCell ref="M95:Q95"/>
    <mergeCell ref="T95:AI95"/>
    <mergeCell ref="A93:C93"/>
    <mergeCell ref="A87:A92"/>
    <mergeCell ref="B87:B90"/>
    <mergeCell ref="AI87:AI92"/>
    <mergeCell ref="B91:B92"/>
    <mergeCell ref="AI57:AI62"/>
    <mergeCell ref="B61:B62"/>
    <mergeCell ref="A57:A62"/>
    <mergeCell ref="B57:B60"/>
    <mergeCell ref="AI63:AI68"/>
    <mergeCell ref="A63:A68"/>
    <mergeCell ref="B63:B66"/>
    <mergeCell ref="B67:B68"/>
    <mergeCell ref="A69:A74"/>
    <mergeCell ref="B69:B72"/>
    <mergeCell ref="B73:B74"/>
    <mergeCell ref="AI69:AI74"/>
    <mergeCell ref="A75:A80"/>
    <mergeCell ref="B75:B78"/>
    <mergeCell ref="AI75:AI80"/>
    <mergeCell ref="B79:B80"/>
    <mergeCell ref="AI81:AI86"/>
    <mergeCell ref="B85:B86"/>
    <mergeCell ref="A81:A86"/>
    <mergeCell ref="B81:B84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6CE8-FC6B-497F-8B37-A7A9DBC98D2C}">
  <dimension ref="A1:AP96"/>
  <sheetViews>
    <sheetView zoomScale="110" zoomScaleNormal="110" workbookViewId="0">
      <selection activeCell="AL13" sqref="AL13"/>
    </sheetView>
  </sheetViews>
  <sheetFormatPr defaultColWidth="9.140625" defaultRowHeight="12.75" x14ac:dyDescent="0.25"/>
  <cols>
    <col min="1" max="1" width="10.28515625" style="2" customWidth="1"/>
    <col min="2" max="2" width="13.140625" style="2" customWidth="1"/>
    <col min="3" max="3" width="27.5703125" style="2" customWidth="1"/>
    <col min="4" max="4" width="4.85546875" style="2" customWidth="1"/>
    <col min="5" max="6" width="5" style="2" bestFit="1" customWidth="1"/>
    <col min="7" max="7" width="5.140625" style="2" bestFit="1" customWidth="1"/>
    <col min="8" max="8" width="5.85546875" style="2" customWidth="1"/>
    <col min="9" max="9" width="4.7109375" style="2" customWidth="1"/>
    <col min="10" max="10" width="4" style="2" customWidth="1"/>
    <col min="11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5" style="2" bestFit="1" customWidth="1"/>
    <col min="22" max="22" width="4" style="2" bestFit="1" customWidth="1"/>
    <col min="23" max="23" width="4.42578125" style="2" bestFit="1" customWidth="1"/>
    <col min="24" max="25" width="4.140625" style="2" bestFit="1" customWidth="1"/>
    <col min="26" max="29" width="5" style="2" bestFit="1" customWidth="1"/>
    <col min="30" max="30" width="3.7109375" style="2" customWidth="1"/>
    <col min="31" max="31" width="5" style="2" customWidth="1"/>
    <col min="32" max="32" width="5" style="2" bestFit="1" customWidth="1"/>
    <col min="33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42" ht="22.5" customHeight="1" thickBot="1" x14ac:dyDescent="0.3">
      <c r="A1" s="76" t="s">
        <v>82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42" ht="59.25" customHeight="1" x14ac:dyDescent="0.25">
      <c r="A2" s="77" t="s">
        <v>0</v>
      </c>
      <c r="B2" s="112"/>
      <c r="C2" s="78"/>
      <c r="D2" s="11">
        <v>45992</v>
      </c>
      <c r="E2" s="11">
        <v>45993</v>
      </c>
      <c r="F2" s="11">
        <v>45994</v>
      </c>
      <c r="G2" s="11">
        <v>45995</v>
      </c>
      <c r="H2" s="11">
        <v>45996</v>
      </c>
      <c r="I2" s="11">
        <v>45997</v>
      </c>
      <c r="J2" s="11">
        <v>45998</v>
      </c>
      <c r="K2" s="11">
        <v>45999</v>
      </c>
      <c r="L2" s="11">
        <v>46000</v>
      </c>
      <c r="M2" s="11">
        <v>46001</v>
      </c>
      <c r="N2" s="11">
        <v>46002</v>
      </c>
      <c r="O2" s="11">
        <v>46003</v>
      </c>
      <c r="P2" s="11">
        <v>46004</v>
      </c>
      <c r="Q2" s="11">
        <v>46005</v>
      </c>
      <c r="R2" s="11">
        <v>46006</v>
      </c>
      <c r="S2" s="11">
        <v>46007</v>
      </c>
      <c r="T2" s="11">
        <v>46008</v>
      </c>
      <c r="U2" s="11">
        <v>46009</v>
      </c>
      <c r="V2" s="11">
        <v>46010</v>
      </c>
      <c r="W2" s="11">
        <v>46011</v>
      </c>
      <c r="X2" s="11">
        <v>46012</v>
      </c>
      <c r="Y2" s="11">
        <v>46013</v>
      </c>
      <c r="Z2" s="11">
        <v>46014</v>
      </c>
      <c r="AA2" s="11">
        <v>46015</v>
      </c>
      <c r="AB2" s="11">
        <v>46016</v>
      </c>
      <c r="AC2" s="11">
        <v>46017</v>
      </c>
      <c r="AD2" s="11">
        <v>46018</v>
      </c>
      <c r="AE2" s="11">
        <v>46019</v>
      </c>
      <c r="AF2" s="11">
        <v>46020</v>
      </c>
      <c r="AG2" s="11">
        <v>46021</v>
      </c>
      <c r="AH2" s="11">
        <v>46022</v>
      </c>
      <c r="AI2" s="81" t="s">
        <v>1</v>
      </c>
      <c r="AJ2" s="82"/>
    </row>
    <row r="3" spans="1:42" ht="71.25" customHeight="1" x14ac:dyDescent="0.25">
      <c r="A3" s="79"/>
      <c r="B3" s="113"/>
      <c r="C3" s="80"/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2</v>
      </c>
      <c r="K3" s="12" t="s">
        <v>3</v>
      </c>
      <c r="L3" s="12" t="s">
        <v>4</v>
      </c>
      <c r="M3" s="12" t="s">
        <v>5</v>
      </c>
      <c r="N3" s="12" t="s">
        <v>6</v>
      </c>
      <c r="O3" s="12" t="s">
        <v>7</v>
      </c>
      <c r="P3" s="12" t="s">
        <v>8</v>
      </c>
      <c r="Q3" s="12" t="s">
        <v>2</v>
      </c>
      <c r="R3" s="12" t="s">
        <v>3</v>
      </c>
      <c r="S3" s="12" t="s">
        <v>4</v>
      </c>
      <c r="T3" s="12" t="s">
        <v>5</v>
      </c>
      <c r="U3" s="12" t="s">
        <v>6</v>
      </c>
      <c r="V3" s="12" t="s">
        <v>7</v>
      </c>
      <c r="W3" s="12" t="s">
        <v>8</v>
      </c>
      <c r="X3" s="12" t="s">
        <v>2</v>
      </c>
      <c r="Y3" s="12" t="s">
        <v>3</v>
      </c>
      <c r="Z3" s="12" t="s">
        <v>4</v>
      </c>
      <c r="AA3" s="12" t="s">
        <v>5</v>
      </c>
      <c r="AB3" s="12" t="s">
        <v>6</v>
      </c>
      <c r="AC3" s="12" t="s">
        <v>7</v>
      </c>
      <c r="AD3" s="12" t="s">
        <v>8</v>
      </c>
      <c r="AE3" s="12" t="s">
        <v>2</v>
      </c>
      <c r="AF3" s="12" t="s">
        <v>3</v>
      </c>
      <c r="AG3" s="12" t="s">
        <v>4</v>
      </c>
      <c r="AH3" s="12" t="s">
        <v>5</v>
      </c>
      <c r="AI3" s="83"/>
      <c r="AJ3" s="84"/>
      <c r="AP3" s="2" t="s">
        <v>62</v>
      </c>
    </row>
    <row r="4" spans="1:42" ht="15" customHeight="1" x14ac:dyDescent="0.25">
      <c r="A4" s="72" t="s">
        <v>39</v>
      </c>
      <c r="B4" s="114"/>
      <c r="C4" s="73"/>
      <c r="D4" s="3">
        <v>270</v>
      </c>
      <c r="E4" s="3">
        <v>223</v>
      </c>
      <c r="F4" s="3">
        <v>135</v>
      </c>
      <c r="G4" s="3">
        <v>254</v>
      </c>
      <c r="H4" s="3" t="s">
        <v>9</v>
      </c>
      <c r="I4" s="14" t="s">
        <v>9</v>
      </c>
      <c r="J4" s="14" t="s">
        <v>9</v>
      </c>
      <c r="K4" s="3">
        <v>199</v>
      </c>
      <c r="L4" s="3">
        <v>97</v>
      </c>
      <c r="M4" s="3">
        <v>132</v>
      </c>
      <c r="N4" s="3">
        <v>116</v>
      </c>
      <c r="O4" s="17">
        <v>71</v>
      </c>
      <c r="P4" s="17" t="s">
        <v>9</v>
      </c>
      <c r="Q4" s="13">
        <v>13</v>
      </c>
      <c r="R4" s="3" t="s">
        <v>9</v>
      </c>
      <c r="S4" s="3">
        <v>58</v>
      </c>
      <c r="T4" s="3">
        <v>71</v>
      </c>
      <c r="U4" s="13">
        <v>232</v>
      </c>
      <c r="V4" s="13">
        <v>151</v>
      </c>
      <c r="W4" s="3" t="s">
        <v>9</v>
      </c>
      <c r="X4" s="3" t="s">
        <v>9</v>
      </c>
      <c r="Y4" s="3">
        <v>111</v>
      </c>
      <c r="Z4" s="3">
        <v>308</v>
      </c>
      <c r="AA4" s="3">
        <v>273</v>
      </c>
      <c r="AB4" s="3" t="s">
        <v>9</v>
      </c>
      <c r="AC4" s="3">
        <v>203</v>
      </c>
      <c r="AD4" s="3" t="s">
        <v>9</v>
      </c>
      <c r="AE4" s="3" t="s">
        <v>9</v>
      </c>
      <c r="AF4" s="3">
        <v>188</v>
      </c>
      <c r="AG4" s="3">
        <v>323</v>
      </c>
      <c r="AH4" s="3">
        <v>200</v>
      </c>
      <c r="AI4" s="74">
        <f t="shared" ref="AI4:AI9" si="0">SUM(D4:AH4)</f>
        <v>3628</v>
      </c>
      <c r="AJ4" s="75"/>
    </row>
    <row r="5" spans="1:42" x14ac:dyDescent="0.25">
      <c r="A5" s="72" t="s">
        <v>32</v>
      </c>
      <c r="B5" s="114"/>
      <c r="C5" s="73"/>
      <c r="D5" s="3">
        <v>232</v>
      </c>
      <c r="E5" s="3">
        <v>184</v>
      </c>
      <c r="F5" s="3">
        <v>218</v>
      </c>
      <c r="G5" s="3">
        <v>190</v>
      </c>
      <c r="H5" s="3">
        <v>224</v>
      </c>
      <c r="I5" s="3">
        <v>165</v>
      </c>
      <c r="J5" s="3" t="s">
        <v>9</v>
      </c>
      <c r="K5" s="3" t="s">
        <v>9</v>
      </c>
      <c r="L5" s="3">
        <v>9</v>
      </c>
      <c r="M5" s="3">
        <v>90</v>
      </c>
      <c r="N5" s="3">
        <v>90</v>
      </c>
      <c r="O5" s="3">
        <v>77</v>
      </c>
      <c r="P5" s="3" t="s">
        <v>9</v>
      </c>
      <c r="Q5" s="3" t="s">
        <v>9</v>
      </c>
      <c r="R5" s="3">
        <v>35</v>
      </c>
      <c r="S5" s="3">
        <v>16</v>
      </c>
      <c r="T5" s="3">
        <v>32</v>
      </c>
      <c r="U5" s="13">
        <v>124</v>
      </c>
      <c r="V5" s="13">
        <v>141</v>
      </c>
      <c r="W5" s="3">
        <v>130</v>
      </c>
      <c r="X5" s="3" t="s">
        <v>9</v>
      </c>
      <c r="Y5" s="3">
        <v>164</v>
      </c>
      <c r="Z5" s="3">
        <v>234</v>
      </c>
      <c r="AA5" s="3">
        <v>158</v>
      </c>
      <c r="AB5" s="3" t="s">
        <v>9</v>
      </c>
      <c r="AC5" s="3">
        <v>158</v>
      </c>
      <c r="AD5" s="3" t="s">
        <v>9</v>
      </c>
      <c r="AE5" s="3" t="s">
        <v>9</v>
      </c>
      <c r="AF5" s="3">
        <v>47</v>
      </c>
      <c r="AG5" s="3">
        <v>139</v>
      </c>
      <c r="AH5" s="3">
        <v>287</v>
      </c>
      <c r="AI5" s="74">
        <f>SUM(D5:AH5)</f>
        <v>3144</v>
      </c>
      <c r="AJ5" s="75"/>
    </row>
    <row r="6" spans="1:42" x14ac:dyDescent="0.25">
      <c r="A6" s="72" t="s">
        <v>86</v>
      </c>
      <c r="B6" s="114"/>
      <c r="C6" s="73"/>
      <c r="D6" s="3">
        <v>334</v>
      </c>
      <c r="E6" s="3">
        <v>226</v>
      </c>
      <c r="F6" s="3">
        <v>209</v>
      </c>
      <c r="G6" s="3">
        <v>232</v>
      </c>
      <c r="H6" s="3">
        <v>252</v>
      </c>
      <c r="I6" s="3" t="s">
        <v>9</v>
      </c>
      <c r="J6" s="3" t="s">
        <v>9</v>
      </c>
      <c r="K6" s="3">
        <v>176</v>
      </c>
      <c r="L6" s="3">
        <v>118</v>
      </c>
      <c r="M6" s="3">
        <v>66</v>
      </c>
      <c r="N6" s="3">
        <v>70</v>
      </c>
      <c r="O6" s="3">
        <v>81</v>
      </c>
      <c r="P6" s="3">
        <v>95</v>
      </c>
      <c r="Q6" s="3" t="s">
        <v>9</v>
      </c>
      <c r="R6" s="3">
        <v>75</v>
      </c>
      <c r="S6" s="3">
        <v>56</v>
      </c>
      <c r="T6" s="3">
        <v>32</v>
      </c>
      <c r="U6" s="3" t="s">
        <v>37</v>
      </c>
      <c r="V6" s="3">
        <v>37</v>
      </c>
      <c r="W6" s="3" t="s">
        <v>9</v>
      </c>
      <c r="X6" s="3" t="s">
        <v>9</v>
      </c>
      <c r="Y6" s="3">
        <v>95</v>
      </c>
      <c r="Z6" s="3">
        <v>101</v>
      </c>
      <c r="AA6" s="3">
        <v>92</v>
      </c>
      <c r="AB6" s="3" t="s">
        <v>9</v>
      </c>
      <c r="AC6" s="3">
        <v>134</v>
      </c>
      <c r="AD6" s="13">
        <v>153</v>
      </c>
      <c r="AE6" s="13" t="s">
        <v>9</v>
      </c>
      <c r="AF6" s="13">
        <v>115</v>
      </c>
      <c r="AG6" s="13">
        <v>98</v>
      </c>
      <c r="AH6" s="13">
        <v>72</v>
      </c>
      <c r="AI6" s="74">
        <f t="shared" si="0"/>
        <v>2919</v>
      </c>
      <c r="AJ6" s="75"/>
    </row>
    <row r="7" spans="1:42" x14ac:dyDescent="0.25">
      <c r="A7" s="72" t="s">
        <v>38</v>
      </c>
      <c r="B7" s="114"/>
      <c r="C7" s="73"/>
      <c r="D7" s="3">
        <v>145</v>
      </c>
      <c r="E7" s="3">
        <v>193</v>
      </c>
      <c r="F7" s="3">
        <v>112</v>
      </c>
      <c r="G7" s="3">
        <v>146</v>
      </c>
      <c r="H7" s="3">
        <v>131</v>
      </c>
      <c r="I7" s="3" t="s">
        <v>9</v>
      </c>
      <c r="J7" s="3" t="s">
        <v>9</v>
      </c>
      <c r="K7" s="3" t="s">
        <v>9</v>
      </c>
      <c r="L7" s="3">
        <v>20</v>
      </c>
      <c r="M7" s="3">
        <v>64</v>
      </c>
      <c r="N7" s="3">
        <v>31</v>
      </c>
      <c r="O7" s="17">
        <v>28</v>
      </c>
      <c r="P7" s="17" t="s">
        <v>9</v>
      </c>
      <c r="Q7" s="18" t="s">
        <v>9</v>
      </c>
      <c r="R7" s="3">
        <v>42</v>
      </c>
      <c r="S7" s="3">
        <v>27</v>
      </c>
      <c r="T7" s="3">
        <v>17</v>
      </c>
      <c r="U7" s="13">
        <v>121</v>
      </c>
      <c r="V7" s="13">
        <v>112</v>
      </c>
      <c r="W7" s="3">
        <v>71</v>
      </c>
      <c r="X7" s="3" t="s">
        <v>9</v>
      </c>
      <c r="Y7" s="3">
        <v>142</v>
      </c>
      <c r="Z7" s="3">
        <v>168</v>
      </c>
      <c r="AA7" s="3">
        <v>237</v>
      </c>
      <c r="AB7" s="3" t="s">
        <v>9</v>
      </c>
      <c r="AC7" s="3">
        <v>133</v>
      </c>
      <c r="AD7" s="3">
        <v>116</v>
      </c>
      <c r="AE7" s="3" t="s">
        <v>9</v>
      </c>
      <c r="AF7" s="3">
        <v>163</v>
      </c>
      <c r="AG7" s="3">
        <v>145</v>
      </c>
      <c r="AH7" s="3">
        <v>69</v>
      </c>
      <c r="AI7" s="74">
        <f t="shared" si="0"/>
        <v>2433</v>
      </c>
      <c r="AJ7" s="75"/>
    </row>
    <row r="8" spans="1:42" ht="13.5" customHeight="1" x14ac:dyDescent="0.25">
      <c r="A8" s="72" t="s">
        <v>84</v>
      </c>
      <c r="B8" s="114"/>
      <c r="C8" s="73"/>
      <c r="D8" s="3">
        <v>121</v>
      </c>
      <c r="E8" s="3">
        <v>93</v>
      </c>
      <c r="F8" s="3">
        <v>51</v>
      </c>
      <c r="G8" s="3">
        <v>67</v>
      </c>
      <c r="H8" s="3">
        <v>107</v>
      </c>
      <c r="I8" s="14">
        <v>119</v>
      </c>
      <c r="J8" s="3" t="s">
        <v>9</v>
      </c>
      <c r="K8" s="3">
        <v>27</v>
      </c>
      <c r="L8" s="3">
        <v>18</v>
      </c>
      <c r="M8" s="3">
        <v>62</v>
      </c>
      <c r="N8" s="3" t="s">
        <v>37</v>
      </c>
      <c r="O8" s="17">
        <v>67</v>
      </c>
      <c r="P8" s="17" t="s">
        <v>9</v>
      </c>
      <c r="Q8" s="3" t="s">
        <v>9</v>
      </c>
      <c r="R8" s="3">
        <v>105</v>
      </c>
      <c r="S8" s="3">
        <v>91</v>
      </c>
      <c r="T8" s="13">
        <v>79</v>
      </c>
      <c r="U8" s="13">
        <v>98</v>
      </c>
      <c r="V8" s="13">
        <v>78</v>
      </c>
      <c r="W8" s="17">
        <v>197</v>
      </c>
      <c r="X8" s="3" t="s">
        <v>9</v>
      </c>
      <c r="Y8" s="3">
        <v>139</v>
      </c>
      <c r="Z8" s="3">
        <v>149</v>
      </c>
      <c r="AA8" s="3">
        <v>126</v>
      </c>
      <c r="AB8" s="3" t="s">
        <v>9</v>
      </c>
      <c r="AC8" s="13">
        <v>92</v>
      </c>
      <c r="AD8" s="13" t="s">
        <v>9</v>
      </c>
      <c r="AE8" s="13" t="s">
        <v>9</v>
      </c>
      <c r="AF8" s="13">
        <v>151</v>
      </c>
      <c r="AG8" s="13">
        <v>176</v>
      </c>
      <c r="AH8" s="3">
        <v>115</v>
      </c>
      <c r="AI8" s="74">
        <f>SUM(D8:AH8)</f>
        <v>2328</v>
      </c>
      <c r="AJ8" s="75"/>
    </row>
    <row r="9" spans="1:42" x14ac:dyDescent="0.25">
      <c r="A9" s="72" t="s">
        <v>33</v>
      </c>
      <c r="B9" s="114"/>
      <c r="C9" s="73"/>
      <c r="D9" s="3">
        <v>182</v>
      </c>
      <c r="E9" s="3">
        <v>125</v>
      </c>
      <c r="F9" s="3">
        <v>172</v>
      </c>
      <c r="G9" s="3">
        <v>133</v>
      </c>
      <c r="H9" s="3">
        <v>89</v>
      </c>
      <c r="I9" s="14" t="s">
        <v>9</v>
      </c>
      <c r="J9" s="3" t="s">
        <v>9</v>
      </c>
      <c r="K9" s="3">
        <v>33</v>
      </c>
      <c r="L9" s="3">
        <v>37</v>
      </c>
      <c r="M9" s="3">
        <v>44</v>
      </c>
      <c r="N9" s="3">
        <v>49</v>
      </c>
      <c r="O9" s="3">
        <v>61</v>
      </c>
      <c r="P9" s="3">
        <v>69</v>
      </c>
      <c r="Q9" s="3" t="s">
        <v>9</v>
      </c>
      <c r="R9" s="3">
        <v>38</v>
      </c>
      <c r="S9" s="3">
        <v>22</v>
      </c>
      <c r="T9" s="3">
        <v>34</v>
      </c>
      <c r="U9" s="13">
        <v>101</v>
      </c>
      <c r="V9" s="13">
        <v>54</v>
      </c>
      <c r="W9" s="3" t="s">
        <v>9</v>
      </c>
      <c r="X9" s="3" t="s">
        <v>9</v>
      </c>
      <c r="Y9" s="3">
        <v>72</v>
      </c>
      <c r="Z9" s="3">
        <v>195</v>
      </c>
      <c r="AA9" s="3">
        <v>133</v>
      </c>
      <c r="AB9" s="3" t="s">
        <v>9</v>
      </c>
      <c r="AC9" s="3">
        <v>105</v>
      </c>
      <c r="AD9" s="3">
        <v>76</v>
      </c>
      <c r="AE9" s="3" t="s">
        <v>9</v>
      </c>
      <c r="AF9" s="3">
        <v>237</v>
      </c>
      <c r="AG9" s="3">
        <v>149</v>
      </c>
      <c r="AH9" s="3">
        <v>104</v>
      </c>
      <c r="AI9" s="74">
        <f t="shared" si="0"/>
        <v>2314</v>
      </c>
      <c r="AJ9" s="75"/>
    </row>
    <row r="10" spans="1:42" x14ac:dyDescent="0.25">
      <c r="A10" s="72" t="s">
        <v>72</v>
      </c>
      <c r="B10" s="114"/>
      <c r="C10" s="73"/>
      <c r="D10" s="3">
        <v>108</v>
      </c>
      <c r="E10" s="3">
        <v>155</v>
      </c>
      <c r="F10" s="13">
        <v>67</v>
      </c>
      <c r="G10" s="3">
        <v>113</v>
      </c>
      <c r="H10" s="3">
        <v>96</v>
      </c>
      <c r="I10" s="3">
        <v>77</v>
      </c>
      <c r="J10" s="3" t="s">
        <v>9</v>
      </c>
      <c r="K10" s="3">
        <v>58</v>
      </c>
      <c r="L10" s="3">
        <v>0</v>
      </c>
      <c r="M10" s="3">
        <v>27</v>
      </c>
      <c r="N10" s="3">
        <v>32</v>
      </c>
      <c r="O10" s="17">
        <v>32</v>
      </c>
      <c r="P10" s="17">
        <v>21</v>
      </c>
      <c r="Q10" s="18" t="s">
        <v>9</v>
      </c>
      <c r="R10" s="3">
        <v>0</v>
      </c>
      <c r="S10" s="3">
        <v>0</v>
      </c>
      <c r="T10" s="13">
        <v>2</v>
      </c>
      <c r="U10" s="13">
        <v>44</v>
      </c>
      <c r="V10" s="13">
        <v>108</v>
      </c>
      <c r="W10" s="3">
        <v>71</v>
      </c>
      <c r="X10" s="3" t="s">
        <v>9</v>
      </c>
      <c r="Y10" s="3">
        <v>64</v>
      </c>
      <c r="Z10" s="3">
        <v>98</v>
      </c>
      <c r="AA10" s="3">
        <v>154</v>
      </c>
      <c r="AB10" s="3" t="s">
        <v>9</v>
      </c>
      <c r="AC10" s="13">
        <v>76</v>
      </c>
      <c r="AD10" s="13">
        <v>65</v>
      </c>
      <c r="AE10" s="13" t="s">
        <v>9</v>
      </c>
      <c r="AF10" s="13">
        <v>137</v>
      </c>
      <c r="AG10" s="13">
        <v>116</v>
      </c>
      <c r="AH10" s="3">
        <v>97</v>
      </c>
      <c r="AI10" s="74">
        <f t="shared" ref="AI10" si="1">SUM(D10:AH10)</f>
        <v>1818</v>
      </c>
      <c r="AJ10" s="75"/>
    </row>
    <row r="11" spans="1:42" x14ac:dyDescent="0.25">
      <c r="A11" s="72" t="s">
        <v>35</v>
      </c>
      <c r="B11" s="114"/>
      <c r="C11" s="73"/>
      <c r="D11" s="3" t="s">
        <v>10</v>
      </c>
      <c r="E11" s="3" t="s">
        <v>10</v>
      </c>
      <c r="F11" s="3">
        <v>54</v>
      </c>
      <c r="G11" s="3">
        <v>96</v>
      </c>
      <c r="H11" s="3">
        <v>108</v>
      </c>
      <c r="I11" s="14" t="s">
        <v>9</v>
      </c>
      <c r="J11" s="3" t="s">
        <v>9</v>
      </c>
      <c r="K11" s="3">
        <v>78</v>
      </c>
      <c r="L11" s="3">
        <v>37</v>
      </c>
      <c r="M11" s="3">
        <v>95</v>
      </c>
      <c r="N11" s="3">
        <v>85</v>
      </c>
      <c r="O11" s="3">
        <v>35</v>
      </c>
      <c r="P11" s="3" t="s">
        <v>9</v>
      </c>
      <c r="Q11" s="3" t="s">
        <v>9</v>
      </c>
      <c r="R11" s="3">
        <v>48</v>
      </c>
      <c r="S11" s="3">
        <v>44</v>
      </c>
      <c r="T11" s="3">
        <v>34</v>
      </c>
      <c r="U11" s="3">
        <v>109</v>
      </c>
      <c r="V11" s="3">
        <v>99</v>
      </c>
      <c r="W11" s="3" t="s">
        <v>9</v>
      </c>
      <c r="X11" s="3">
        <v>17</v>
      </c>
      <c r="Y11" s="3">
        <v>95</v>
      </c>
      <c r="Z11" s="3">
        <v>40</v>
      </c>
      <c r="AA11" s="3" t="s">
        <v>9</v>
      </c>
      <c r="AB11" s="3" t="s">
        <v>9</v>
      </c>
      <c r="AC11" s="3" t="s">
        <v>9</v>
      </c>
      <c r="AD11" s="3" t="s">
        <v>9</v>
      </c>
      <c r="AE11" s="3" t="s">
        <v>9</v>
      </c>
      <c r="AF11" s="3">
        <v>149</v>
      </c>
      <c r="AG11" s="3">
        <v>175</v>
      </c>
      <c r="AH11" s="3">
        <v>101</v>
      </c>
      <c r="AI11" s="74">
        <f>SUM(D11:AH11)</f>
        <v>1499</v>
      </c>
      <c r="AJ11" s="75"/>
    </row>
    <row r="12" spans="1:42" ht="15" customHeight="1" x14ac:dyDescent="0.25">
      <c r="A12" s="72" t="s">
        <v>73</v>
      </c>
      <c r="B12" s="114"/>
      <c r="C12" s="73"/>
      <c r="D12" s="3">
        <v>117</v>
      </c>
      <c r="E12" s="3">
        <v>148</v>
      </c>
      <c r="F12" s="13">
        <v>42</v>
      </c>
      <c r="G12" s="3">
        <v>114</v>
      </c>
      <c r="H12" s="3">
        <v>64</v>
      </c>
      <c r="I12" s="3">
        <v>33</v>
      </c>
      <c r="J12" s="3" t="s">
        <v>9</v>
      </c>
      <c r="K12" s="3">
        <v>54</v>
      </c>
      <c r="L12" s="3">
        <v>0</v>
      </c>
      <c r="M12" s="3">
        <v>23</v>
      </c>
      <c r="N12" s="3">
        <v>32</v>
      </c>
      <c r="O12" s="17">
        <v>36</v>
      </c>
      <c r="P12" s="17">
        <v>27</v>
      </c>
      <c r="Q12" s="18" t="s">
        <v>9</v>
      </c>
      <c r="R12" s="3">
        <v>3</v>
      </c>
      <c r="S12" s="3">
        <v>2</v>
      </c>
      <c r="T12" s="13">
        <v>0</v>
      </c>
      <c r="U12" s="13">
        <v>89</v>
      </c>
      <c r="V12" s="13">
        <v>78</v>
      </c>
      <c r="W12" s="17">
        <v>38</v>
      </c>
      <c r="X12" s="3" t="s">
        <v>9</v>
      </c>
      <c r="Y12" s="3">
        <v>58</v>
      </c>
      <c r="Z12" s="3">
        <v>97</v>
      </c>
      <c r="AA12" s="3">
        <v>160</v>
      </c>
      <c r="AB12" s="3" t="s">
        <v>9</v>
      </c>
      <c r="AC12" s="13">
        <v>124</v>
      </c>
      <c r="AD12" s="13">
        <v>50</v>
      </c>
      <c r="AE12" s="13" t="s">
        <v>9</v>
      </c>
      <c r="AF12" s="13" t="s">
        <v>10</v>
      </c>
      <c r="AG12" s="13" t="s">
        <v>10</v>
      </c>
      <c r="AH12" s="13" t="s">
        <v>10</v>
      </c>
      <c r="AI12" s="74">
        <f>SUM(D12:AH12)</f>
        <v>1389</v>
      </c>
      <c r="AJ12" s="75"/>
    </row>
    <row r="13" spans="1:42" x14ac:dyDescent="0.25">
      <c r="A13" s="72" t="s">
        <v>36</v>
      </c>
      <c r="B13" s="114"/>
      <c r="C13" s="73"/>
      <c r="D13" s="3">
        <v>73</v>
      </c>
      <c r="E13" s="3">
        <v>59</v>
      </c>
      <c r="F13" s="13">
        <v>45</v>
      </c>
      <c r="G13" s="3">
        <v>31</v>
      </c>
      <c r="H13" s="3">
        <v>14</v>
      </c>
      <c r="I13" s="3">
        <v>32</v>
      </c>
      <c r="J13" s="3" t="s">
        <v>9</v>
      </c>
      <c r="K13" s="3" t="s">
        <v>10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>
        <v>68</v>
      </c>
      <c r="AB13" s="3">
        <v>10</v>
      </c>
      <c r="AC13" s="13">
        <v>89</v>
      </c>
      <c r="AD13" s="13" t="s">
        <v>9</v>
      </c>
      <c r="AE13" s="13" t="s">
        <v>9</v>
      </c>
      <c r="AF13" s="13" t="s">
        <v>55</v>
      </c>
      <c r="AG13" s="13">
        <v>9</v>
      </c>
      <c r="AH13" s="3">
        <v>55</v>
      </c>
      <c r="AI13" s="74">
        <f t="shared" ref="AI13" si="2">SUM(D13:AH13)</f>
        <v>485</v>
      </c>
      <c r="AJ13" s="75"/>
    </row>
    <row r="14" spans="1:42" x14ac:dyDescent="0.25">
      <c r="A14" s="72" t="s">
        <v>34</v>
      </c>
      <c r="B14" s="114"/>
      <c r="C14" s="73"/>
      <c r="D14" s="3">
        <v>107</v>
      </c>
      <c r="E14" s="3">
        <v>93</v>
      </c>
      <c r="F14" s="13" t="s">
        <v>29</v>
      </c>
      <c r="G14" s="13" t="s">
        <v>29</v>
      </c>
      <c r="H14" s="13" t="s">
        <v>29</v>
      </c>
      <c r="I14" s="13" t="s">
        <v>29</v>
      </c>
      <c r="J14" s="13" t="s">
        <v>29</v>
      </c>
      <c r="K14" s="13" t="s">
        <v>29</v>
      </c>
      <c r="L14" s="13" t="s">
        <v>29</v>
      </c>
      <c r="M14" s="13" t="s">
        <v>29</v>
      </c>
      <c r="N14" s="13" t="s">
        <v>29</v>
      </c>
      <c r="O14" s="13" t="s">
        <v>29</v>
      </c>
      <c r="P14" s="13" t="s">
        <v>29</v>
      </c>
      <c r="Q14" s="13" t="s">
        <v>29</v>
      </c>
      <c r="R14" s="13" t="s">
        <v>29</v>
      </c>
      <c r="S14" s="13" t="s">
        <v>29</v>
      </c>
      <c r="T14" s="13" t="s">
        <v>29</v>
      </c>
      <c r="U14" s="13" t="s">
        <v>29</v>
      </c>
      <c r="V14" s="13" t="s">
        <v>29</v>
      </c>
      <c r="W14" s="13" t="s">
        <v>29</v>
      </c>
      <c r="X14" s="13" t="s">
        <v>29</v>
      </c>
      <c r="Y14" s="13" t="s">
        <v>29</v>
      </c>
      <c r="Z14" s="13" t="s">
        <v>29</v>
      </c>
      <c r="AA14" s="13" t="s">
        <v>29</v>
      </c>
      <c r="AB14" s="13" t="s">
        <v>29</v>
      </c>
      <c r="AC14" s="13" t="s">
        <v>29</v>
      </c>
      <c r="AD14" s="13" t="s">
        <v>29</v>
      </c>
      <c r="AE14" s="13" t="s">
        <v>29</v>
      </c>
      <c r="AF14" s="13" t="s">
        <v>29</v>
      </c>
      <c r="AG14" s="13" t="s">
        <v>29</v>
      </c>
      <c r="AH14" s="3" t="s">
        <v>29</v>
      </c>
      <c r="AI14" s="74">
        <f t="shared" ref="AI14" si="3">SUM(D14:AH14)</f>
        <v>200</v>
      </c>
      <c r="AJ14" s="75"/>
    </row>
    <row r="15" spans="1:42" ht="13.5" thickBot="1" x14ac:dyDescent="0.3">
      <c r="A15" s="92" t="s">
        <v>1</v>
      </c>
      <c r="B15" s="115"/>
      <c r="C15" s="93"/>
      <c r="D15" s="10">
        <f t="shared" ref="D15:AH15" si="4">SUM(D4:D14)</f>
        <v>1689</v>
      </c>
      <c r="E15" s="10">
        <f t="shared" si="4"/>
        <v>1499</v>
      </c>
      <c r="F15" s="10">
        <f t="shared" si="4"/>
        <v>1105</v>
      </c>
      <c r="G15" s="10">
        <f t="shared" si="4"/>
        <v>1376</v>
      </c>
      <c r="H15" s="10">
        <f t="shared" si="4"/>
        <v>1085</v>
      </c>
      <c r="I15" s="10">
        <f t="shared" si="4"/>
        <v>426</v>
      </c>
      <c r="J15" s="10">
        <f t="shared" si="4"/>
        <v>0</v>
      </c>
      <c r="K15" s="10">
        <f t="shared" si="4"/>
        <v>625</v>
      </c>
      <c r="L15" s="10">
        <f t="shared" si="4"/>
        <v>336</v>
      </c>
      <c r="M15" s="10">
        <f t="shared" si="4"/>
        <v>603</v>
      </c>
      <c r="N15" s="10">
        <f t="shared" si="4"/>
        <v>505</v>
      </c>
      <c r="O15" s="10">
        <f t="shared" si="4"/>
        <v>488</v>
      </c>
      <c r="P15" s="10">
        <f t="shared" si="4"/>
        <v>212</v>
      </c>
      <c r="Q15" s="10">
        <f t="shared" si="4"/>
        <v>13</v>
      </c>
      <c r="R15" s="10">
        <f t="shared" si="4"/>
        <v>346</v>
      </c>
      <c r="S15" s="10">
        <f t="shared" si="4"/>
        <v>316</v>
      </c>
      <c r="T15" s="10">
        <f t="shared" si="4"/>
        <v>301</v>
      </c>
      <c r="U15" s="10">
        <f t="shared" si="4"/>
        <v>918</v>
      </c>
      <c r="V15" s="10">
        <f t="shared" si="4"/>
        <v>858</v>
      </c>
      <c r="W15" s="10">
        <f t="shared" si="4"/>
        <v>507</v>
      </c>
      <c r="X15" s="10">
        <f t="shared" si="4"/>
        <v>17</v>
      </c>
      <c r="Y15" s="10">
        <f t="shared" si="4"/>
        <v>940</v>
      </c>
      <c r="Z15" s="10">
        <f t="shared" si="4"/>
        <v>1390</v>
      </c>
      <c r="AA15" s="10">
        <f t="shared" si="4"/>
        <v>1401</v>
      </c>
      <c r="AB15" s="10">
        <f t="shared" si="4"/>
        <v>10</v>
      </c>
      <c r="AC15" s="10">
        <f t="shared" si="4"/>
        <v>1114</v>
      </c>
      <c r="AD15" s="10">
        <f t="shared" si="4"/>
        <v>460</v>
      </c>
      <c r="AE15" s="10">
        <f t="shared" si="4"/>
        <v>0</v>
      </c>
      <c r="AF15" s="10">
        <f t="shared" si="4"/>
        <v>1187</v>
      </c>
      <c r="AG15" s="10">
        <f t="shared" si="4"/>
        <v>1330</v>
      </c>
      <c r="AH15" s="10">
        <f t="shared" si="4"/>
        <v>1100</v>
      </c>
      <c r="AI15" s="116">
        <f>SUM(D15:AH15)</f>
        <v>22157</v>
      </c>
      <c r="AJ15" s="117"/>
      <c r="AK15" s="4"/>
    </row>
    <row r="16" spans="1:42" ht="13.5" thickBot="1" x14ac:dyDescent="0.3"/>
    <row r="17" spans="1:36" ht="22.5" customHeight="1" thickBot="1" x14ac:dyDescent="0.3">
      <c r="A17" s="160" t="s">
        <v>83</v>
      </c>
      <c r="B17" s="161"/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2"/>
    </row>
    <row r="18" spans="1:36" ht="57" customHeight="1" thickBot="1" x14ac:dyDescent="0.3">
      <c r="A18" s="97" t="s">
        <v>0</v>
      </c>
      <c r="B18" s="132" t="s">
        <v>17</v>
      </c>
      <c r="C18" s="133"/>
      <c r="D18" s="11">
        <v>45992</v>
      </c>
      <c r="E18" s="11">
        <v>45993</v>
      </c>
      <c r="F18" s="11">
        <v>45994</v>
      </c>
      <c r="G18" s="11">
        <v>45995</v>
      </c>
      <c r="H18" s="11">
        <v>45996</v>
      </c>
      <c r="I18" s="11">
        <v>45997</v>
      </c>
      <c r="J18" s="11">
        <v>45998</v>
      </c>
      <c r="K18" s="11">
        <v>45999</v>
      </c>
      <c r="L18" s="11">
        <v>46000</v>
      </c>
      <c r="M18" s="11">
        <v>46001</v>
      </c>
      <c r="N18" s="11">
        <v>46002</v>
      </c>
      <c r="O18" s="11">
        <v>46003</v>
      </c>
      <c r="P18" s="11">
        <v>46004</v>
      </c>
      <c r="Q18" s="11">
        <v>46005</v>
      </c>
      <c r="R18" s="11">
        <v>46006</v>
      </c>
      <c r="S18" s="11">
        <v>46007</v>
      </c>
      <c r="T18" s="11">
        <v>46008</v>
      </c>
      <c r="U18" s="11">
        <v>46009</v>
      </c>
      <c r="V18" s="11">
        <v>46010</v>
      </c>
      <c r="W18" s="11">
        <v>46011</v>
      </c>
      <c r="X18" s="11">
        <v>46012</v>
      </c>
      <c r="Y18" s="11">
        <v>46013</v>
      </c>
      <c r="Z18" s="11">
        <v>46014</v>
      </c>
      <c r="AA18" s="11">
        <v>46015</v>
      </c>
      <c r="AB18" s="11">
        <v>46016</v>
      </c>
      <c r="AC18" s="11">
        <v>46017</v>
      </c>
      <c r="AD18" s="11">
        <v>46018</v>
      </c>
      <c r="AE18" s="11">
        <v>46019</v>
      </c>
      <c r="AF18" s="11">
        <v>46020</v>
      </c>
      <c r="AG18" s="11">
        <v>46021</v>
      </c>
      <c r="AH18" s="11">
        <v>46022</v>
      </c>
      <c r="AI18" s="101" t="s">
        <v>28</v>
      </c>
      <c r="AJ18" s="103" t="s">
        <v>27</v>
      </c>
    </row>
    <row r="19" spans="1:36" ht="63.75" thickBot="1" x14ac:dyDescent="0.3">
      <c r="A19" s="98"/>
      <c r="B19" s="146"/>
      <c r="C19" s="147"/>
      <c r="D19" s="12" t="s">
        <v>3</v>
      </c>
      <c r="E19" s="12" t="s">
        <v>4</v>
      </c>
      <c r="F19" s="12" t="s">
        <v>5</v>
      </c>
      <c r="G19" s="12" t="s">
        <v>6</v>
      </c>
      <c r="H19" s="12" t="s">
        <v>7</v>
      </c>
      <c r="I19" s="12" t="s">
        <v>8</v>
      </c>
      <c r="J19" s="12" t="s">
        <v>2</v>
      </c>
      <c r="K19" s="12" t="s">
        <v>3</v>
      </c>
      <c r="L19" s="12" t="s">
        <v>4</v>
      </c>
      <c r="M19" s="12" t="s">
        <v>5</v>
      </c>
      <c r="N19" s="12" t="s">
        <v>6</v>
      </c>
      <c r="O19" s="12" t="s">
        <v>7</v>
      </c>
      <c r="P19" s="12" t="s">
        <v>8</v>
      </c>
      <c r="Q19" s="12" t="s">
        <v>2</v>
      </c>
      <c r="R19" s="12" t="s">
        <v>3</v>
      </c>
      <c r="S19" s="12" t="s">
        <v>4</v>
      </c>
      <c r="T19" s="12" t="s">
        <v>5</v>
      </c>
      <c r="U19" s="12" t="s">
        <v>6</v>
      </c>
      <c r="V19" s="12" t="s">
        <v>7</v>
      </c>
      <c r="W19" s="12" t="s">
        <v>8</v>
      </c>
      <c r="X19" s="12" t="s">
        <v>2</v>
      </c>
      <c r="Y19" s="12" t="s">
        <v>3</v>
      </c>
      <c r="Z19" s="12" t="s">
        <v>4</v>
      </c>
      <c r="AA19" s="12" t="s">
        <v>5</v>
      </c>
      <c r="AB19" s="12" t="s">
        <v>6</v>
      </c>
      <c r="AC19" s="12" t="s">
        <v>7</v>
      </c>
      <c r="AD19" s="12" t="s">
        <v>8</v>
      </c>
      <c r="AE19" s="12" t="s">
        <v>2</v>
      </c>
      <c r="AF19" s="12" t="s">
        <v>3</v>
      </c>
      <c r="AG19" s="12" t="s">
        <v>4</v>
      </c>
      <c r="AH19" s="12" t="s">
        <v>5</v>
      </c>
      <c r="AI19" s="102"/>
      <c r="AJ19" s="104"/>
    </row>
    <row r="20" spans="1:36" x14ac:dyDescent="0.25">
      <c r="A20" s="106" t="s">
        <v>39</v>
      </c>
      <c r="B20" s="124" t="s">
        <v>18</v>
      </c>
      <c r="C20" s="49" t="s">
        <v>48</v>
      </c>
      <c r="D20" s="7">
        <v>33</v>
      </c>
      <c r="E20" s="7">
        <v>54</v>
      </c>
      <c r="F20" s="7">
        <v>7</v>
      </c>
      <c r="G20" s="7">
        <v>12</v>
      </c>
      <c r="H20" s="7" t="s">
        <v>9</v>
      </c>
      <c r="I20" s="7" t="s">
        <v>9</v>
      </c>
      <c r="J20" s="7" t="s">
        <v>9</v>
      </c>
      <c r="K20" s="7">
        <v>9</v>
      </c>
      <c r="L20" s="7">
        <v>10</v>
      </c>
      <c r="M20" s="7">
        <v>9</v>
      </c>
      <c r="N20" s="7">
        <v>9</v>
      </c>
      <c r="O20" s="7">
        <v>5</v>
      </c>
      <c r="P20" s="7" t="s">
        <v>9</v>
      </c>
      <c r="Q20" s="7">
        <v>1</v>
      </c>
      <c r="R20" s="7" t="s">
        <v>9</v>
      </c>
      <c r="S20" s="7">
        <v>3</v>
      </c>
      <c r="T20" s="7">
        <v>1</v>
      </c>
      <c r="U20" s="7">
        <v>18</v>
      </c>
      <c r="V20" s="7">
        <v>6</v>
      </c>
      <c r="W20" s="7" t="s">
        <v>9</v>
      </c>
      <c r="X20" s="7" t="s">
        <v>9</v>
      </c>
      <c r="Y20" s="7">
        <v>16</v>
      </c>
      <c r="Z20" s="7">
        <v>29</v>
      </c>
      <c r="AA20" s="7">
        <v>8</v>
      </c>
      <c r="AB20" s="7" t="s">
        <v>9</v>
      </c>
      <c r="AC20" s="7">
        <v>48</v>
      </c>
      <c r="AD20" s="7" t="s">
        <v>9</v>
      </c>
      <c r="AE20" s="7" t="s">
        <v>9</v>
      </c>
      <c r="AF20" s="7">
        <v>14</v>
      </c>
      <c r="AG20" s="7">
        <f>15+22</f>
        <v>37</v>
      </c>
      <c r="AH20" s="7">
        <v>30</v>
      </c>
      <c r="AI20" s="54">
        <f t="shared" ref="AI20:AI25" si="5">SUM(D20:AH20)</f>
        <v>359</v>
      </c>
      <c r="AJ20" s="154">
        <f>SUM(AI20:AI25)</f>
        <v>980</v>
      </c>
    </row>
    <row r="21" spans="1:36" x14ac:dyDescent="0.25">
      <c r="A21" s="72"/>
      <c r="B21" s="125"/>
      <c r="C21" s="50" t="s">
        <v>50</v>
      </c>
      <c r="D21" s="14">
        <v>14</v>
      </c>
      <c r="E21" s="14">
        <v>15</v>
      </c>
      <c r="F21" s="14">
        <v>14</v>
      </c>
      <c r="G21" s="14">
        <v>15</v>
      </c>
      <c r="H21" s="14" t="s">
        <v>9</v>
      </c>
      <c r="I21" s="14" t="s">
        <v>9</v>
      </c>
      <c r="J21" s="14" t="s">
        <v>9</v>
      </c>
      <c r="K21" s="14">
        <v>18</v>
      </c>
      <c r="L21" s="14">
        <v>10</v>
      </c>
      <c r="M21" s="14">
        <v>14</v>
      </c>
      <c r="N21" s="14">
        <v>9</v>
      </c>
      <c r="O21" s="14">
        <v>20</v>
      </c>
      <c r="P21" s="14" t="s">
        <v>9</v>
      </c>
      <c r="Q21" s="14">
        <v>19</v>
      </c>
      <c r="R21" s="14" t="s">
        <v>9</v>
      </c>
      <c r="S21" s="14">
        <v>19</v>
      </c>
      <c r="T21" s="14">
        <v>24</v>
      </c>
      <c r="U21" s="14">
        <v>24</v>
      </c>
      <c r="V21" s="14">
        <v>10</v>
      </c>
      <c r="W21" s="14" t="s">
        <v>9</v>
      </c>
      <c r="X21" s="14" t="s">
        <v>9</v>
      </c>
      <c r="Y21" s="14">
        <v>21</v>
      </c>
      <c r="Z21" s="14">
        <v>25</v>
      </c>
      <c r="AA21" s="14">
        <v>21</v>
      </c>
      <c r="AB21" s="14" t="s">
        <v>9</v>
      </c>
      <c r="AC21" s="14">
        <v>11</v>
      </c>
      <c r="AD21" s="14" t="s">
        <v>9</v>
      </c>
      <c r="AE21" s="14" t="s">
        <v>9</v>
      </c>
      <c r="AF21" s="14">
        <v>7</v>
      </c>
      <c r="AG21" s="14">
        <v>13</v>
      </c>
      <c r="AH21" s="14">
        <v>21</v>
      </c>
      <c r="AI21" s="55">
        <f t="shared" si="5"/>
        <v>344</v>
      </c>
      <c r="AJ21" s="151"/>
    </row>
    <row r="22" spans="1:36" x14ac:dyDescent="0.25">
      <c r="A22" s="72"/>
      <c r="B22" s="125"/>
      <c r="C22" s="50" t="s">
        <v>49</v>
      </c>
      <c r="D22" s="14">
        <v>0</v>
      </c>
      <c r="E22" s="14">
        <v>0</v>
      </c>
      <c r="F22" s="14">
        <v>0</v>
      </c>
      <c r="G22" s="14">
        <v>0</v>
      </c>
      <c r="H22" s="14" t="s">
        <v>9</v>
      </c>
      <c r="I22" s="14" t="s">
        <v>9</v>
      </c>
      <c r="J22" s="14" t="s">
        <v>9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 t="s">
        <v>9</v>
      </c>
      <c r="Q22" s="14">
        <v>0</v>
      </c>
      <c r="R22" s="14" t="s">
        <v>9</v>
      </c>
      <c r="S22" s="14">
        <v>0</v>
      </c>
      <c r="T22" s="14">
        <v>0</v>
      </c>
      <c r="U22" s="14">
        <v>0</v>
      </c>
      <c r="V22" s="14">
        <v>0</v>
      </c>
      <c r="W22" s="14" t="s">
        <v>9</v>
      </c>
      <c r="X22" s="14" t="s">
        <v>9</v>
      </c>
      <c r="Y22" s="14">
        <v>0</v>
      </c>
      <c r="Z22" s="14">
        <v>0</v>
      </c>
      <c r="AA22" s="14">
        <v>0</v>
      </c>
      <c r="AB22" s="14" t="s">
        <v>9</v>
      </c>
      <c r="AC22" s="14">
        <v>0</v>
      </c>
      <c r="AD22" s="14" t="s">
        <v>9</v>
      </c>
      <c r="AE22" s="14" t="s">
        <v>9</v>
      </c>
      <c r="AF22" s="14">
        <v>0</v>
      </c>
      <c r="AG22" s="14">
        <v>0</v>
      </c>
      <c r="AH22" s="14">
        <v>0</v>
      </c>
      <c r="AI22" s="55">
        <f t="shared" si="5"/>
        <v>0</v>
      </c>
      <c r="AJ22" s="151"/>
    </row>
    <row r="23" spans="1:36" x14ac:dyDescent="0.25">
      <c r="A23" s="72"/>
      <c r="B23" s="126"/>
      <c r="C23" s="50" t="s">
        <v>51</v>
      </c>
      <c r="D23" s="14">
        <v>2</v>
      </c>
      <c r="E23" s="14">
        <v>3</v>
      </c>
      <c r="F23" s="14">
        <v>2</v>
      </c>
      <c r="G23" s="14">
        <v>1</v>
      </c>
      <c r="H23" s="14" t="s">
        <v>9</v>
      </c>
      <c r="I23" s="14" t="s">
        <v>9</v>
      </c>
      <c r="J23" s="14" t="s">
        <v>9</v>
      </c>
      <c r="K23" s="14">
        <v>1</v>
      </c>
      <c r="L23" s="14">
        <v>8</v>
      </c>
      <c r="M23" s="14">
        <v>3</v>
      </c>
      <c r="N23" s="14">
        <v>3</v>
      </c>
      <c r="O23" s="14">
        <v>2</v>
      </c>
      <c r="P23" s="14" t="s">
        <v>9</v>
      </c>
      <c r="Q23" s="14">
        <v>1</v>
      </c>
      <c r="R23" s="14" t="s">
        <v>9</v>
      </c>
      <c r="S23" s="14">
        <v>0</v>
      </c>
      <c r="T23" s="14">
        <v>3</v>
      </c>
      <c r="U23" s="14">
        <v>1</v>
      </c>
      <c r="V23" s="14">
        <v>2</v>
      </c>
      <c r="W23" s="14" t="s">
        <v>9</v>
      </c>
      <c r="X23" s="14" t="s">
        <v>9</v>
      </c>
      <c r="Y23" s="14">
        <v>2</v>
      </c>
      <c r="Z23" s="14">
        <v>1</v>
      </c>
      <c r="AA23" s="14">
        <v>0</v>
      </c>
      <c r="AB23" s="14" t="s">
        <v>9</v>
      </c>
      <c r="AC23" s="14">
        <v>3</v>
      </c>
      <c r="AD23" s="14" t="s">
        <v>9</v>
      </c>
      <c r="AE23" s="14" t="s">
        <v>9</v>
      </c>
      <c r="AF23" s="14">
        <v>2</v>
      </c>
      <c r="AG23" s="14">
        <v>1</v>
      </c>
      <c r="AH23" s="14">
        <v>0</v>
      </c>
      <c r="AI23" s="55">
        <f t="shared" si="5"/>
        <v>41</v>
      </c>
      <c r="AJ23" s="151"/>
    </row>
    <row r="24" spans="1:36" x14ac:dyDescent="0.25">
      <c r="A24" s="72"/>
      <c r="B24" s="127" t="s">
        <v>45</v>
      </c>
      <c r="C24" s="51" t="s">
        <v>46</v>
      </c>
      <c r="D24" s="3">
        <v>5</v>
      </c>
      <c r="E24" s="3">
        <v>67</v>
      </c>
      <c r="F24" s="3">
        <v>3</v>
      </c>
      <c r="G24" s="3">
        <v>5</v>
      </c>
      <c r="H24" s="3" t="s">
        <v>9</v>
      </c>
      <c r="I24" s="3" t="s">
        <v>9</v>
      </c>
      <c r="J24" s="3" t="s">
        <v>9</v>
      </c>
      <c r="K24" s="3">
        <v>2</v>
      </c>
      <c r="L24" s="3">
        <v>25</v>
      </c>
      <c r="M24" s="3">
        <v>7</v>
      </c>
      <c r="N24" s="3">
        <v>10</v>
      </c>
      <c r="O24" s="3">
        <v>4</v>
      </c>
      <c r="P24" s="3" t="s">
        <v>9</v>
      </c>
      <c r="Q24" s="3">
        <v>2</v>
      </c>
      <c r="R24" s="3" t="s">
        <v>9</v>
      </c>
      <c r="S24" s="3">
        <v>1</v>
      </c>
      <c r="T24" s="3">
        <v>7</v>
      </c>
      <c r="U24" s="3">
        <v>4</v>
      </c>
      <c r="V24" s="3">
        <v>4</v>
      </c>
      <c r="W24" s="3" t="s">
        <v>9</v>
      </c>
      <c r="X24" s="3" t="s">
        <v>9</v>
      </c>
      <c r="Y24" s="3">
        <v>5</v>
      </c>
      <c r="Z24" s="3">
        <v>17</v>
      </c>
      <c r="AA24" s="3">
        <v>3</v>
      </c>
      <c r="AB24" s="3" t="s">
        <v>9</v>
      </c>
      <c r="AC24" s="3">
        <v>27</v>
      </c>
      <c r="AD24" s="3" t="s">
        <v>9</v>
      </c>
      <c r="AE24" s="3" t="s">
        <v>9</v>
      </c>
      <c r="AF24" s="3">
        <v>3</v>
      </c>
      <c r="AG24" s="3">
        <v>16</v>
      </c>
      <c r="AH24" s="3">
        <v>11</v>
      </c>
      <c r="AI24" s="55">
        <f t="shared" si="5"/>
        <v>228</v>
      </c>
      <c r="AJ24" s="152"/>
    </row>
    <row r="25" spans="1:36" ht="15" customHeight="1" thickBot="1" x14ac:dyDescent="0.3">
      <c r="A25" s="107"/>
      <c r="B25" s="128"/>
      <c r="C25" s="52" t="s">
        <v>47</v>
      </c>
      <c r="D25" s="8">
        <v>2</v>
      </c>
      <c r="E25" s="8">
        <v>0</v>
      </c>
      <c r="F25" s="8">
        <v>0</v>
      </c>
      <c r="G25" s="8">
        <v>2</v>
      </c>
      <c r="H25" s="8" t="s">
        <v>9</v>
      </c>
      <c r="I25" s="8" t="s">
        <v>9</v>
      </c>
      <c r="J25" s="8" t="s">
        <v>9</v>
      </c>
      <c r="K25" s="8">
        <v>1</v>
      </c>
      <c r="L25" s="8">
        <v>0</v>
      </c>
      <c r="M25" s="8">
        <v>0</v>
      </c>
      <c r="N25" s="8">
        <v>0</v>
      </c>
      <c r="O25" s="8">
        <v>0</v>
      </c>
      <c r="P25" s="8" t="s">
        <v>9</v>
      </c>
      <c r="Q25" s="8">
        <v>1</v>
      </c>
      <c r="R25" s="8" t="s">
        <v>9</v>
      </c>
      <c r="S25" s="8">
        <v>1</v>
      </c>
      <c r="T25" s="8">
        <v>0</v>
      </c>
      <c r="U25" s="8">
        <v>0</v>
      </c>
      <c r="V25" s="8">
        <v>0</v>
      </c>
      <c r="W25" s="8" t="s">
        <v>9</v>
      </c>
      <c r="X25" s="8" t="s">
        <v>9</v>
      </c>
      <c r="Y25" s="8">
        <v>1</v>
      </c>
      <c r="Z25" s="8">
        <v>0</v>
      </c>
      <c r="AA25" s="8">
        <v>0</v>
      </c>
      <c r="AB25" s="8" t="s">
        <v>9</v>
      </c>
      <c r="AC25" s="8">
        <v>0</v>
      </c>
      <c r="AD25" s="8" t="s">
        <v>9</v>
      </c>
      <c r="AE25" s="8" t="s">
        <v>9</v>
      </c>
      <c r="AF25" s="8">
        <v>0</v>
      </c>
      <c r="AG25" s="8">
        <v>0</v>
      </c>
      <c r="AH25" s="8">
        <v>0</v>
      </c>
      <c r="AI25" s="56">
        <f t="shared" si="5"/>
        <v>8</v>
      </c>
      <c r="AJ25" s="153"/>
    </row>
    <row r="26" spans="1:36" x14ac:dyDescent="0.25">
      <c r="A26" s="123" t="s">
        <v>35</v>
      </c>
      <c r="B26" s="125" t="s">
        <v>18</v>
      </c>
      <c r="C26" s="50" t="s">
        <v>48</v>
      </c>
      <c r="D26" s="14" t="s">
        <v>10</v>
      </c>
      <c r="E26" s="14" t="s">
        <v>10</v>
      </c>
      <c r="F26" s="14">
        <v>4</v>
      </c>
      <c r="G26" s="14">
        <v>9</v>
      </c>
      <c r="H26" s="14">
        <v>11</v>
      </c>
      <c r="I26" s="14" t="s">
        <v>9</v>
      </c>
      <c r="J26" s="14" t="s">
        <v>9</v>
      </c>
      <c r="K26" s="14">
        <v>10</v>
      </c>
      <c r="L26" s="14">
        <v>11</v>
      </c>
      <c r="M26" s="14">
        <v>15</v>
      </c>
      <c r="N26" s="14">
        <v>2</v>
      </c>
      <c r="O26" s="14">
        <v>6</v>
      </c>
      <c r="P26" s="14" t="s">
        <v>9</v>
      </c>
      <c r="Q26" s="14" t="s">
        <v>9</v>
      </c>
      <c r="R26" s="14">
        <v>1</v>
      </c>
      <c r="S26" s="14">
        <v>0</v>
      </c>
      <c r="T26" s="14">
        <v>8</v>
      </c>
      <c r="U26" s="14">
        <v>11</v>
      </c>
      <c r="V26" s="14">
        <v>5</v>
      </c>
      <c r="W26" s="7" t="s">
        <v>9</v>
      </c>
      <c r="X26" s="14">
        <v>1</v>
      </c>
      <c r="Y26" s="14">
        <v>4</v>
      </c>
      <c r="Z26" s="14">
        <v>24</v>
      </c>
      <c r="AA26" s="14" t="s">
        <v>9</v>
      </c>
      <c r="AB26" s="14" t="s">
        <v>9</v>
      </c>
      <c r="AC26" s="14" t="s">
        <v>9</v>
      </c>
      <c r="AD26" s="14" t="s">
        <v>9</v>
      </c>
      <c r="AE26" s="14" t="s">
        <v>9</v>
      </c>
      <c r="AF26" s="14">
        <v>18</v>
      </c>
      <c r="AG26" s="14">
        <v>45</v>
      </c>
      <c r="AH26" s="14">
        <v>19</v>
      </c>
      <c r="AI26" s="63">
        <f>SUM(D26:AH26)</f>
        <v>204</v>
      </c>
      <c r="AJ26" s="158">
        <f>SUM(AI26:AI31)</f>
        <v>842</v>
      </c>
    </row>
    <row r="27" spans="1:36" x14ac:dyDescent="0.25">
      <c r="A27" s="123"/>
      <c r="B27" s="125"/>
      <c r="C27" s="50" t="s">
        <v>50</v>
      </c>
      <c r="D27" s="14" t="s">
        <v>10</v>
      </c>
      <c r="E27" s="14" t="s">
        <v>10</v>
      </c>
      <c r="F27" s="14">
        <v>8</v>
      </c>
      <c r="G27" s="14">
        <v>14</v>
      </c>
      <c r="H27" s="14">
        <v>8</v>
      </c>
      <c r="I27" s="14" t="s">
        <v>9</v>
      </c>
      <c r="J27" s="14" t="s">
        <v>9</v>
      </c>
      <c r="K27" s="14">
        <v>12</v>
      </c>
      <c r="L27" s="14">
        <v>6</v>
      </c>
      <c r="M27" s="14">
        <v>9</v>
      </c>
      <c r="N27" s="14">
        <v>17</v>
      </c>
      <c r="O27" s="14">
        <v>16</v>
      </c>
      <c r="P27" s="14" t="s">
        <v>9</v>
      </c>
      <c r="Q27" s="14" t="s">
        <v>9</v>
      </c>
      <c r="R27" s="14">
        <v>32</v>
      </c>
      <c r="S27" s="14">
        <v>15</v>
      </c>
      <c r="T27" s="14">
        <v>18</v>
      </c>
      <c r="U27" s="14">
        <v>9</v>
      </c>
      <c r="V27" s="14">
        <v>10</v>
      </c>
      <c r="W27" s="14" t="s">
        <v>9</v>
      </c>
      <c r="X27" s="14">
        <v>29</v>
      </c>
      <c r="Y27" s="14">
        <v>12</v>
      </c>
      <c r="Z27" s="14">
        <v>17</v>
      </c>
      <c r="AA27" s="14" t="s">
        <v>9</v>
      </c>
      <c r="AB27" s="14" t="s">
        <v>9</v>
      </c>
      <c r="AC27" s="14" t="s">
        <v>9</v>
      </c>
      <c r="AD27" s="14" t="s">
        <v>9</v>
      </c>
      <c r="AE27" s="14" t="s">
        <v>9</v>
      </c>
      <c r="AF27" s="14">
        <f>18+5</f>
        <v>23</v>
      </c>
      <c r="AG27" s="14">
        <v>13</v>
      </c>
      <c r="AH27" s="14">
        <v>15</v>
      </c>
      <c r="AI27" s="63">
        <f t="shared" ref="AI27:AI31" si="6">SUM(D27:AH27)</f>
        <v>283</v>
      </c>
      <c r="AJ27" s="158"/>
    </row>
    <row r="28" spans="1:36" s="5" customFormat="1" x14ac:dyDescent="0.25">
      <c r="A28" s="123"/>
      <c r="B28" s="125"/>
      <c r="C28" s="50" t="s">
        <v>49</v>
      </c>
      <c r="D28" s="14" t="s">
        <v>10</v>
      </c>
      <c r="E28" s="14" t="s">
        <v>10</v>
      </c>
      <c r="F28" s="14">
        <v>0</v>
      </c>
      <c r="G28" s="14">
        <v>0</v>
      </c>
      <c r="H28" s="14">
        <v>0</v>
      </c>
      <c r="I28" s="14" t="s">
        <v>9</v>
      </c>
      <c r="J28" s="14" t="s">
        <v>9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 t="s">
        <v>9</v>
      </c>
      <c r="Q28" s="14" t="s">
        <v>9</v>
      </c>
      <c r="R28" s="14">
        <v>0</v>
      </c>
      <c r="S28" s="14">
        <v>0</v>
      </c>
      <c r="T28" s="14">
        <v>0</v>
      </c>
      <c r="U28" s="14">
        <v>7</v>
      </c>
      <c r="V28" s="14">
        <v>0</v>
      </c>
      <c r="W28" s="14" t="s">
        <v>9</v>
      </c>
      <c r="X28" s="14">
        <v>0</v>
      </c>
      <c r="Y28" s="14">
        <v>0</v>
      </c>
      <c r="Z28" s="14">
        <v>0</v>
      </c>
      <c r="AA28" s="14" t="s">
        <v>9</v>
      </c>
      <c r="AB28" s="14" t="s">
        <v>9</v>
      </c>
      <c r="AC28" s="14" t="s">
        <v>9</v>
      </c>
      <c r="AD28" s="14" t="s">
        <v>9</v>
      </c>
      <c r="AE28" s="14" t="s">
        <v>9</v>
      </c>
      <c r="AF28" s="14">
        <v>0</v>
      </c>
      <c r="AG28" s="14">
        <v>0</v>
      </c>
      <c r="AH28" s="14">
        <v>0</v>
      </c>
      <c r="AI28" s="63">
        <f t="shared" si="6"/>
        <v>7</v>
      </c>
      <c r="AJ28" s="158"/>
    </row>
    <row r="29" spans="1:36" x14ac:dyDescent="0.25">
      <c r="A29" s="123"/>
      <c r="B29" s="126"/>
      <c r="C29" s="50" t="s">
        <v>51</v>
      </c>
      <c r="D29" s="14" t="s">
        <v>10</v>
      </c>
      <c r="E29" s="14" t="s">
        <v>10</v>
      </c>
      <c r="F29" s="14">
        <v>1</v>
      </c>
      <c r="G29" s="14">
        <v>2</v>
      </c>
      <c r="H29" s="14">
        <v>1</v>
      </c>
      <c r="I29" s="14" t="s">
        <v>9</v>
      </c>
      <c r="J29" s="14" t="s">
        <v>9</v>
      </c>
      <c r="K29" s="14">
        <v>2</v>
      </c>
      <c r="L29" s="14">
        <v>2</v>
      </c>
      <c r="M29" s="14">
        <v>1</v>
      </c>
      <c r="N29" s="14">
        <v>1</v>
      </c>
      <c r="O29" s="14">
        <v>3</v>
      </c>
      <c r="P29" s="14" t="s">
        <v>9</v>
      </c>
      <c r="Q29" s="14" t="s">
        <v>9</v>
      </c>
      <c r="R29" s="14">
        <v>8</v>
      </c>
      <c r="S29" s="14">
        <v>8</v>
      </c>
      <c r="T29" s="14">
        <v>3</v>
      </c>
      <c r="U29" s="14">
        <v>0</v>
      </c>
      <c r="V29" s="14">
        <v>3</v>
      </c>
      <c r="W29" s="14" t="s">
        <v>9</v>
      </c>
      <c r="X29" s="14">
        <v>3</v>
      </c>
      <c r="Y29" s="14">
        <v>4</v>
      </c>
      <c r="Z29" s="14">
        <v>0</v>
      </c>
      <c r="AA29" s="14" t="s">
        <v>9</v>
      </c>
      <c r="AB29" s="14" t="s">
        <v>9</v>
      </c>
      <c r="AC29" s="14" t="s">
        <v>9</v>
      </c>
      <c r="AD29" s="14" t="s">
        <v>9</v>
      </c>
      <c r="AE29" s="14" t="s">
        <v>9</v>
      </c>
      <c r="AF29" s="14">
        <v>1</v>
      </c>
      <c r="AG29" s="14">
        <v>3</v>
      </c>
      <c r="AH29" s="14">
        <v>1</v>
      </c>
      <c r="AI29" s="63">
        <f t="shared" si="6"/>
        <v>47</v>
      </c>
      <c r="AJ29" s="158"/>
    </row>
    <row r="30" spans="1:36" x14ac:dyDescent="0.25">
      <c r="A30" s="72"/>
      <c r="B30" s="127" t="s">
        <v>45</v>
      </c>
      <c r="C30" s="51" t="s">
        <v>46</v>
      </c>
      <c r="D30" s="3" t="s">
        <v>10</v>
      </c>
      <c r="E30" s="3" t="s">
        <v>10</v>
      </c>
      <c r="F30" s="3">
        <v>11</v>
      </c>
      <c r="G30" s="3">
        <v>6</v>
      </c>
      <c r="H30" s="3">
        <v>10</v>
      </c>
      <c r="I30" s="3" t="s">
        <v>9</v>
      </c>
      <c r="J30" s="3" t="s">
        <v>9</v>
      </c>
      <c r="K30" s="3">
        <v>13</v>
      </c>
      <c r="L30" s="3">
        <v>24</v>
      </c>
      <c r="M30" s="3">
        <v>9</v>
      </c>
      <c r="N30" s="3">
        <v>9</v>
      </c>
      <c r="O30" s="3">
        <v>6</v>
      </c>
      <c r="P30" s="3" t="s">
        <v>9</v>
      </c>
      <c r="Q30" s="3" t="s">
        <v>9</v>
      </c>
      <c r="R30" s="3">
        <v>20</v>
      </c>
      <c r="S30" s="3">
        <v>13</v>
      </c>
      <c r="T30" s="3">
        <v>6</v>
      </c>
      <c r="U30" s="3">
        <v>13</v>
      </c>
      <c r="V30" s="3">
        <v>10</v>
      </c>
      <c r="W30" s="3" t="s">
        <v>9</v>
      </c>
      <c r="X30" s="3">
        <v>11</v>
      </c>
      <c r="Y30" s="3">
        <v>17</v>
      </c>
      <c r="Z30" s="3">
        <v>22</v>
      </c>
      <c r="AA30" s="3" t="s">
        <v>9</v>
      </c>
      <c r="AB30" s="3" t="s">
        <v>9</v>
      </c>
      <c r="AC30" s="3" t="s">
        <v>9</v>
      </c>
      <c r="AD30" s="3" t="s">
        <v>9</v>
      </c>
      <c r="AE30" s="3" t="s">
        <v>9</v>
      </c>
      <c r="AF30" s="3">
        <v>7</v>
      </c>
      <c r="AG30" s="3">
        <v>46</v>
      </c>
      <c r="AH30" s="3">
        <v>31</v>
      </c>
      <c r="AI30" s="63">
        <f t="shared" si="6"/>
        <v>284</v>
      </c>
      <c r="AJ30" s="158"/>
    </row>
    <row r="31" spans="1:36" ht="13.5" thickBot="1" x14ac:dyDescent="0.3">
      <c r="A31" s="107"/>
      <c r="B31" s="128"/>
      <c r="C31" s="52" t="s">
        <v>47</v>
      </c>
      <c r="D31" s="8" t="s">
        <v>10</v>
      </c>
      <c r="E31" s="8" t="s">
        <v>10</v>
      </c>
      <c r="F31" s="8">
        <v>0</v>
      </c>
      <c r="G31" s="8">
        <v>0</v>
      </c>
      <c r="H31" s="8">
        <v>0</v>
      </c>
      <c r="I31" s="8" t="s">
        <v>9</v>
      </c>
      <c r="J31" s="8" t="s">
        <v>9</v>
      </c>
      <c r="K31" s="8">
        <v>0</v>
      </c>
      <c r="L31" s="8">
        <v>0</v>
      </c>
      <c r="M31" s="8">
        <v>1</v>
      </c>
      <c r="N31" s="8">
        <v>2</v>
      </c>
      <c r="O31" s="8">
        <v>0</v>
      </c>
      <c r="P31" s="8" t="s">
        <v>9</v>
      </c>
      <c r="Q31" s="8" t="s">
        <v>9</v>
      </c>
      <c r="R31" s="8">
        <v>2</v>
      </c>
      <c r="S31" s="8">
        <v>1</v>
      </c>
      <c r="T31" s="8">
        <v>2</v>
      </c>
      <c r="U31" s="8">
        <v>2</v>
      </c>
      <c r="V31" s="8">
        <v>1</v>
      </c>
      <c r="W31" s="8" t="s">
        <v>9</v>
      </c>
      <c r="X31" s="8">
        <v>0</v>
      </c>
      <c r="Y31" s="8">
        <v>1</v>
      </c>
      <c r="Z31" s="8">
        <v>2</v>
      </c>
      <c r="AA31" s="8" t="s">
        <v>9</v>
      </c>
      <c r="AB31" s="8" t="s">
        <v>9</v>
      </c>
      <c r="AC31" s="8" t="s">
        <v>9</v>
      </c>
      <c r="AD31" s="8" t="s">
        <v>9</v>
      </c>
      <c r="AE31" s="8" t="s">
        <v>9</v>
      </c>
      <c r="AF31" s="8">
        <v>0</v>
      </c>
      <c r="AG31" s="8">
        <v>3</v>
      </c>
      <c r="AH31" s="8">
        <v>0</v>
      </c>
      <c r="AI31" s="63">
        <f t="shared" si="6"/>
        <v>17</v>
      </c>
      <c r="AJ31" s="159"/>
    </row>
    <row r="32" spans="1:36" x14ac:dyDescent="0.25">
      <c r="A32" s="124" t="s">
        <v>85</v>
      </c>
      <c r="B32" s="124" t="s">
        <v>18</v>
      </c>
      <c r="C32" s="49" t="s">
        <v>48</v>
      </c>
      <c r="D32" s="66">
        <v>15</v>
      </c>
      <c r="E32" s="7">
        <v>23</v>
      </c>
      <c r="F32" s="7">
        <v>24</v>
      </c>
      <c r="G32" s="7">
        <v>2</v>
      </c>
      <c r="H32" s="7">
        <v>2</v>
      </c>
      <c r="I32" s="7">
        <v>11</v>
      </c>
      <c r="J32" s="7" t="s">
        <v>9</v>
      </c>
      <c r="K32" s="7">
        <v>12</v>
      </c>
      <c r="L32" s="7">
        <v>0</v>
      </c>
      <c r="M32" s="7">
        <v>1</v>
      </c>
      <c r="N32" s="7" t="s">
        <v>37</v>
      </c>
      <c r="O32" s="7">
        <v>8</v>
      </c>
      <c r="P32" s="7" t="s">
        <v>9</v>
      </c>
      <c r="Q32" s="7" t="s">
        <v>9</v>
      </c>
      <c r="R32" s="7">
        <v>2</v>
      </c>
      <c r="S32" s="7">
        <v>3</v>
      </c>
      <c r="T32" s="7">
        <v>12</v>
      </c>
      <c r="U32" s="7">
        <v>13</v>
      </c>
      <c r="V32" s="7">
        <v>4</v>
      </c>
      <c r="W32" s="7">
        <v>5</v>
      </c>
      <c r="X32" s="7" t="s">
        <v>9</v>
      </c>
      <c r="Y32" s="7">
        <v>5</v>
      </c>
      <c r="Z32" s="7">
        <v>26</v>
      </c>
      <c r="AA32" s="7">
        <v>12</v>
      </c>
      <c r="AB32" s="7" t="s">
        <v>9</v>
      </c>
      <c r="AC32" s="7">
        <f>24+19</f>
        <v>43</v>
      </c>
      <c r="AD32" s="7" t="s">
        <v>9</v>
      </c>
      <c r="AE32" s="7" t="s">
        <v>9</v>
      </c>
      <c r="AF32" s="7">
        <v>10</v>
      </c>
      <c r="AG32" s="7">
        <v>27</v>
      </c>
      <c r="AH32" s="7">
        <v>48</v>
      </c>
      <c r="AI32" s="45">
        <f t="shared" ref="AI32:AI37" si="7">SUM(D32:AH32)</f>
        <v>308</v>
      </c>
      <c r="AJ32" s="154">
        <f t="shared" ref="AJ32" si="8">SUM(AI32:AI37)</f>
        <v>773</v>
      </c>
    </row>
    <row r="33" spans="1:36" x14ac:dyDescent="0.25">
      <c r="A33" s="125"/>
      <c r="B33" s="125"/>
      <c r="C33" s="50" t="s">
        <v>50</v>
      </c>
      <c r="D33" s="64">
        <v>3</v>
      </c>
      <c r="E33" s="3">
        <v>1</v>
      </c>
      <c r="F33" s="3">
        <v>9</v>
      </c>
      <c r="G33" s="3">
        <v>7</v>
      </c>
      <c r="H33" s="14">
        <v>8</v>
      </c>
      <c r="I33" s="3">
        <v>5</v>
      </c>
      <c r="J33" s="3" t="s">
        <v>9</v>
      </c>
      <c r="K33" s="3">
        <v>4</v>
      </c>
      <c r="L33" s="3">
        <v>2</v>
      </c>
      <c r="M33" s="14">
        <v>8</v>
      </c>
      <c r="N33" s="3" t="s">
        <v>37</v>
      </c>
      <c r="O33" s="3">
        <v>4</v>
      </c>
      <c r="P33" s="3" t="s">
        <v>9</v>
      </c>
      <c r="Q33" s="3" t="s">
        <v>9</v>
      </c>
      <c r="R33" s="14">
        <v>7</v>
      </c>
      <c r="S33" s="14">
        <v>4</v>
      </c>
      <c r="T33" s="14">
        <v>5</v>
      </c>
      <c r="U33" s="14">
        <v>5</v>
      </c>
      <c r="V33" s="14">
        <v>4</v>
      </c>
      <c r="W33" s="14">
        <v>7</v>
      </c>
      <c r="X33" s="14" t="s">
        <v>9</v>
      </c>
      <c r="Y33" s="14">
        <v>6</v>
      </c>
      <c r="Z33" s="14">
        <v>2</v>
      </c>
      <c r="AA33" s="14">
        <v>2</v>
      </c>
      <c r="AB33" s="14" t="s">
        <v>9</v>
      </c>
      <c r="AC33" s="14">
        <v>1</v>
      </c>
      <c r="AD33" s="14" t="s">
        <v>9</v>
      </c>
      <c r="AE33" s="14" t="s">
        <v>9</v>
      </c>
      <c r="AF33" s="14">
        <v>8</v>
      </c>
      <c r="AG33" s="14">
        <v>7</v>
      </c>
      <c r="AH33" s="14">
        <v>8</v>
      </c>
      <c r="AI33" s="44">
        <f t="shared" si="7"/>
        <v>117</v>
      </c>
      <c r="AJ33" s="151"/>
    </row>
    <row r="34" spans="1:36" x14ac:dyDescent="0.25">
      <c r="A34" s="125"/>
      <c r="B34" s="125"/>
      <c r="C34" s="50" t="s">
        <v>49</v>
      </c>
      <c r="D34" s="64">
        <v>0</v>
      </c>
      <c r="E34" s="3">
        <v>0</v>
      </c>
      <c r="F34" s="3">
        <v>0</v>
      </c>
      <c r="G34" s="3">
        <v>0</v>
      </c>
      <c r="H34" s="14">
        <v>0</v>
      </c>
      <c r="I34" s="3">
        <v>0</v>
      </c>
      <c r="J34" s="3" t="s">
        <v>9</v>
      </c>
      <c r="K34" s="3">
        <v>0</v>
      </c>
      <c r="L34" s="3">
        <v>0</v>
      </c>
      <c r="M34" s="14">
        <v>0</v>
      </c>
      <c r="N34" s="3" t="s">
        <v>37</v>
      </c>
      <c r="O34" s="3">
        <v>0</v>
      </c>
      <c r="P34" s="3" t="s">
        <v>9</v>
      </c>
      <c r="Q34" s="3" t="s">
        <v>9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 t="s">
        <v>9</v>
      </c>
      <c r="Y34" s="14">
        <v>0</v>
      </c>
      <c r="Z34" s="14">
        <v>0</v>
      </c>
      <c r="AA34" s="14">
        <v>0</v>
      </c>
      <c r="AB34" s="14" t="s">
        <v>9</v>
      </c>
      <c r="AC34" s="14">
        <v>0</v>
      </c>
      <c r="AD34" s="14" t="s">
        <v>9</v>
      </c>
      <c r="AE34" s="14" t="s">
        <v>9</v>
      </c>
      <c r="AF34" s="14">
        <v>0</v>
      </c>
      <c r="AG34" s="14">
        <v>0</v>
      </c>
      <c r="AH34" s="14">
        <v>0</v>
      </c>
      <c r="AI34" s="44">
        <f t="shared" si="7"/>
        <v>0</v>
      </c>
      <c r="AJ34" s="151"/>
    </row>
    <row r="35" spans="1:36" x14ac:dyDescent="0.25">
      <c r="A35" s="125"/>
      <c r="B35" s="126"/>
      <c r="C35" s="50" t="s">
        <v>51</v>
      </c>
      <c r="D35" s="64">
        <v>0</v>
      </c>
      <c r="E35" s="3">
        <v>2</v>
      </c>
      <c r="F35" s="3">
        <v>2</v>
      </c>
      <c r="G35" s="3">
        <v>5</v>
      </c>
      <c r="H35" s="14">
        <v>7</v>
      </c>
      <c r="I35" s="3">
        <v>3</v>
      </c>
      <c r="J35" s="3" t="s">
        <v>9</v>
      </c>
      <c r="K35" s="3">
        <v>0</v>
      </c>
      <c r="L35" s="3">
        <v>0</v>
      </c>
      <c r="M35" s="14">
        <v>0</v>
      </c>
      <c r="N35" s="3" t="s">
        <v>37</v>
      </c>
      <c r="O35" s="3">
        <v>1</v>
      </c>
      <c r="P35" s="3" t="s">
        <v>9</v>
      </c>
      <c r="Q35" s="3" t="s">
        <v>9</v>
      </c>
      <c r="R35" s="14">
        <v>1</v>
      </c>
      <c r="S35" s="14">
        <v>3</v>
      </c>
      <c r="T35" s="14">
        <v>6</v>
      </c>
      <c r="U35" s="14">
        <v>2</v>
      </c>
      <c r="V35" s="14">
        <v>3</v>
      </c>
      <c r="W35" s="14">
        <v>4</v>
      </c>
      <c r="X35" s="14" t="s">
        <v>9</v>
      </c>
      <c r="Y35" s="14">
        <v>1</v>
      </c>
      <c r="Z35" s="14">
        <v>4</v>
      </c>
      <c r="AA35" s="14">
        <v>0</v>
      </c>
      <c r="AB35" s="14" t="s">
        <v>9</v>
      </c>
      <c r="AC35" s="14">
        <v>3</v>
      </c>
      <c r="AD35" s="14" t="s">
        <v>9</v>
      </c>
      <c r="AE35" s="14" t="s">
        <v>9</v>
      </c>
      <c r="AF35" s="14">
        <v>2</v>
      </c>
      <c r="AG35" s="14">
        <v>4</v>
      </c>
      <c r="AH35" s="14">
        <v>1</v>
      </c>
      <c r="AI35" s="44">
        <f t="shared" si="7"/>
        <v>54</v>
      </c>
      <c r="AJ35" s="151"/>
    </row>
    <row r="36" spans="1:36" x14ac:dyDescent="0.25">
      <c r="A36" s="125"/>
      <c r="B36" s="127" t="s">
        <v>45</v>
      </c>
      <c r="C36" s="51" t="s">
        <v>46</v>
      </c>
      <c r="D36" s="64">
        <v>8</v>
      </c>
      <c r="E36" s="3">
        <v>21</v>
      </c>
      <c r="F36" s="3">
        <v>7</v>
      </c>
      <c r="G36" s="3">
        <v>15</v>
      </c>
      <c r="H36" s="3">
        <v>12</v>
      </c>
      <c r="I36" s="3">
        <v>8</v>
      </c>
      <c r="J36" s="3" t="s">
        <v>9</v>
      </c>
      <c r="K36" s="3">
        <v>11</v>
      </c>
      <c r="L36" s="3">
        <v>15</v>
      </c>
      <c r="M36" s="3">
        <v>5</v>
      </c>
      <c r="N36" s="3" t="s">
        <v>37</v>
      </c>
      <c r="O36" s="3">
        <v>10</v>
      </c>
      <c r="P36" s="3" t="s">
        <v>9</v>
      </c>
      <c r="Q36" s="3" t="s">
        <v>9</v>
      </c>
      <c r="R36" s="3">
        <v>6</v>
      </c>
      <c r="S36" s="3">
        <v>11</v>
      </c>
      <c r="T36" s="3">
        <v>12</v>
      </c>
      <c r="U36" s="3">
        <v>11</v>
      </c>
      <c r="V36" s="3">
        <v>10</v>
      </c>
      <c r="W36" s="3">
        <v>10</v>
      </c>
      <c r="X36" s="3" t="s">
        <v>9</v>
      </c>
      <c r="Y36" s="3">
        <v>11</v>
      </c>
      <c r="Z36" s="3">
        <v>29</v>
      </c>
      <c r="AA36" s="3">
        <v>8</v>
      </c>
      <c r="AB36" s="3" t="s">
        <v>9</v>
      </c>
      <c r="AC36" s="3">
        <v>22</v>
      </c>
      <c r="AD36" s="3" t="s">
        <v>9</v>
      </c>
      <c r="AE36" s="3" t="s">
        <v>9</v>
      </c>
      <c r="AF36" s="3">
        <v>11</v>
      </c>
      <c r="AG36" s="3">
        <v>28</v>
      </c>
      <c r="AH36" s="3">
        <v>11</v>
      </c>
      <c r="AI36" s="44">
        <f t="shared" si="7"/>
        <v>292</v>
      </c>
      <c r="AJ36" s="152"/>
    </row>
    <row r="37" spans="1:36" ht="13.5" thickBot="1" x14ac:dyDescent="0.3">
      <c r="A37" s="128"/>
      <c r="B37" s="128"/>
      <c r="C37" s="52" t="s">
        <v>47</v>
      </c>
      <c r="D37" s="67">
        <v>0</v>
      </c>
      <c r="E37" s="8">
        <v>0</v>
      </c>
      <c r="F37" s="8">
        <v>1</v>
      </c>
      <c r="G37" s="8">
        <v>0</v>
      </c>
      <c r="H37" s="8">
        <v>0</v>
      </c>
      <c r="I37" s="8">
        <v>0</v>
      </c>
      <c r="J37" s="8" t="s">
        <v>9</v>
      </c>
      <c r="K37" s="8">
        <v>1</v>
      </c>
      <c r="L37" s="8">
        <v>0</v>
      </c>
      <c r="M37" s="8">
        <v>0</v>
      </c>
      <c r="N37" s="8" t="s">
        <v>37</v>
      </c>
      <c r="O37" s="8">
        <v>0</v>
      </c>
      <c r="P37" s="8" t="s">
        <v>9</v>
      </c>
      <c r="Q37" s="8" t="s">
        <v>9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 t="s">
        <v>9</v>
      </c>
      <c r="Y37" s="8">
        <v>0</v>
      </c>
      <c r="Z37" s="8">
        <v>0</v>
      </c>
      <c r="AA37" s="8">
        <v>0</v>
      </c>
      <c r="AB37" s="8" t="s">
        <v>9</v>
      </c>
      <c r="AC37" s="8">
        <v>0</v>
      </c>
      <c r="AD37" s="8" t="s">
        <v>9</v>
      </c>
      <c r="AE37" s="8" t="s">
        <v>9</v>
      </c>
      <c r="AF37" s="8">
        <v>0</v>
      </c>
      <c r="AG37" s="8">
        <v>0</v>
      </c>
      <c r="AH37" s="8">
        <v>0</v>
      </c>
      <c r="AI37" s="46">
        <f t="shared" si="7"/>
        <v>2</v>
      </c>
      <c r="AJ37" s="153"/>
    </row>
    <row r="38" spans="1:36" x14ac:dyDescent="0.25">
      <c r="A38" s="142" t="s">
        <v>32</v>
      </c>
      <c r="B38" s="124" t="s">
        <v>18</v>
      </c>
      <c r="C38" s="49" t="s">
        <v>48</v>
      </c>
      <c r="D38" s="7">
        <v>20</v>
      </c>
      <c r="E38" s="7">
        <v>19</v>
      </c>
      <c r="F38" s="7">
        <v>14</v>
      </c>
      <c r="G38" s="7">
        <v>12</v>
      </c>
      <c r="H38" s="7">
        <v>33</v>
      </c>
      <c r="I38" s="7">
        <v>6</v>
      </c>
      <c r="J38" s="7" t="s">
        <v>9</v>
      </c>
      <c r="K38" s="7" t="s">
        <v>9</v>
      </c>
      <c r="L38" s="7">
        <v>1</v>
      </c>
      <c r="M38" s="7">
        <v>1</v>
      </c>
      <c r="N38" s="7">
        <v>5</v>
      </c>
      <c r="O38" s="7">
        <v>11</v>
      </c>
      <c r="P38" s="7" t="s">
        <v>9</v>
      </c>
      <c r="Q38" s="7" t="s">
        <v>9</v>
      </c>
      <c r="R38" s="7">
        <v>5</v>
      </c>
      <c r="S38" s="7">
        <v>2</v>
      </c>
      <c r="T38" s="7">
        <v>6</v>
      </c>
      <c r="U38" s="7">
        <v>5</v>
      </c>
      <c r="V38" s="7">
        <v>7</v>
      </c>
      <c r="W38" s="7">
        <v>8</v>
      </c>
      <c r="X38" s="7" t="s">
        <v>9</v>
      </c>
      <c r="Y38" s="7">
        <v>1</v>
      </c>
      <c r="Z38" s="7">
        <v>23</v>
      </c>
      <c r="AA38" s="7">
        <v>22</v>
      </c>
      <c r="AB38" s="7" t="s">
        <v>9</v>
      </c>
      <c r="AC38" s="7">
        <v>37</v>
      </c>
      <c r="AD38" s="7" t="s">
        <v>9</v>
      </c>
      <c r="AE38" s="7" t="s">
        <v>9</v>
      </c>
      <c r="AF38" s="7">
        <v>1</v>
      </c>
      <c r="AG38" s="7">
        <v>19</v>
      </c>
      <c r="AH38" s="7">
        <v>23</v>
      </c>
      <c r="AI38" s="54">
        <f t="shared" ref="AI38:AI43" si="9">SUM(D38:AH38)</f>
        <v>281</v>
      </c>
      <c r="AJ38" s="154">
        <f t="shared" ref="AJ38" si="10">SUM(AI38:AI43)</f>
        <v>691</v>
      </c>
    </row>
    <row r="39" spans="1:36" x14ac:dyDescent="0.25">
      <c r="A39" s="143"/>
      <c r="B39" s="125"/>
      <c r="C39" s="50" t="s">
        <v>50</v>
      </c>
      <c r="D39" s="14">
        <v>16</v>
      </c>
      <c r="E39" s="14">
        <v>8</v>
      </c>
      <c r="F39" s="14">
        <v>15</v>
      </c>
      <c r="G39" s="14">
        <v>12</v>
      </c>
      <c r="H39" s="14">
        <v>16</v>
      </c>
      <c r="I39" s="14">
        <v>19</v>
      </c>
      <c r="J39" s="14" t="s">
        <v>9</v>
      </c>
      <c r="K39" s="14" t="s">
        <v>9</v>
      </c>
      <c r="L39" s="14">
        <v>9</v>
      </c>
      <c r="M39" s="14">
        <v>7</v>
      </c>
      <c r="N39" s="14">
        <v>12</v>
      </c>
      <c r="O39" s="14">
        <v>9</v>
      </c>
      <c r="P39" s="14" t="s">
        <v>9</v>
      </c>
      <c r="Q39" s="14" t="s">
        <v>9</v>
      </c>
      <c r="R39" s="14">
        <v>16</v>
      </c>
      <c r="S39" s="14">
        <v>7</v>
      </c>
      <c r="T39" s="14">
        <v>10</v>
      </c>
      <c r="U39" s="14">
        <v>10</v>
      </c>
      <c r="V39" s="14">
        <v>9</v>
      </c>
      <c r="W39" s="14">
        <v>18</v>
      </c>
      <c r="X39" s="14" t="s">
        <v>9</v>
      </c>
      <c r="Y39" s="14">
        <v>14</v>
      </c>
      <c r="Z39" s="14">
        <v>8</v>
      </c>
      <c r="AA39" s="14">
        <v>7</v>
      </c>
      <c r="AB39" s="14" t="s">
        <v>9</v>
      </c>
      <c r="AC39" s="14">
        <v>15</v>
      </c>
      <c r="AD39" s="14" t="s">
        <v>9</v>
      </c>
      <c r="AE39" s="14" t="s">
        <v>9</v>
      </c>
      <c r="AF39" s="14">
        <v>9</v>
      </c>
      <c r="AG39" s="14">
        <v>6</v>
      </c>
      <c r="AH39" s="14">
        <v>3</v>
      </c>
      <c r="AI39" s="55">
        <f t="shared" si="9"/>
        <v>255</v>
      </c>
      <c r="AJ39" s="151"/>
    </row>
    <row r="40" spans="1:36" x14ac:dyDescent="0.25">
      <c r="A40" s="143"/>
      <c r="B40" s="125"/>
      <c r="C40" s="50" t="s">
        <v>49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 t="s">
        <v>9</v>
      </c>
      <c r="K40" s="14" t="s">
        <v>9</v>
      </c>
      <c r="L40" s="14">
        <v>0</v>
      </c>
      <c r="M40" s="14">
        <v>0</v>
      </c>
      <c r="N40" s="14">
        <v>2</v>
      </c>
      <c r="O40" s="14">
        <v>0</v>
      </c>
      <c r="P40" s="14" t="s">
        <v>9</v>
      </c>
      <c r="Q40" s="14" t="s">
        <v>9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 t="s">
        <v>9</v>
      </c>
      <c r="Y40" s="14">
        <v>0</v>
      </c>
      <c r="Z40" s="14">
        <v>0</v>
      </c>
      <c r="AA40" s="14">
        <v>0</v>
      </c>
      <c r="AB40" s="14" t="s">
        <v>9</v>
      </c>
      <c r="AC40" s="14">
        <v>0</v>
      </c>
      <c r="AD40" s="14" t="s">
        <v>9</v>
      </c>
      <c r="AE40" s="14" t="s">
        <v>9</v>
      </c>
      <c r="AF40" s="14">
        <v>0</v>
      </c>
      <c r="AG40" s="14">
        <v>0</v>
      </c>
      <c r="AH40" s="14">
        <v>0</v>
      </c>
      <c r="AI40" s="55">
        <f t="shared" si="9"/>
        <v>2</v>
      </c>
      <c r="AJ40" s="151"/>
    </row>
    <row r="41" spans="1:36" x14ac:dyDescent="0.25">
      <c r="A41" s="143"/>
      <c r="B41" s="126"/>
      <c r="C41" s="50" t="s">
        <v>51</v>
      </c>
      <c r="D41" s="14">
        <v>1</v>
      </c>
      <c r="E41" s="14">
        <v>0</v>
      </c>
      <c r="F41" s="14">
        <v>1</v>
      </c>
      <c r="G41" s="14">
        <v>1</v>
      </c>
      <c r="H41" s="14">
        <v>1</v>
      </c>
      <c r="I41" s="14">
        <v>1</v>
      </c>
      <c r="J41" s="14" t="s">
        <v>9</v>
      </c>
      <c r="K41" s="14" t="s">
        <v>9</v>
      </c>
      <c r="L41" s="14">
        <v>0</v>
      </c>
      <c r="M41" s="14">
        <v>2</v>
      </c>
      <c r="N41" s="14">
        <v>0</v>
      </c>
      <c r="O41" s="14">
        <v>4</v>
      </c>
      <c r="P41" s="14" t="s">
        <v>9</v>
      </c>
      <c r="Q41" s="14" t="s">
        <v>9</v>
      </c>
      <c r="R41" s="14">
        <v>1</v>
      </c>
      <c r="S41" s="14">
        <v>1</v>
      </c>
      <c r="T41" s="14">
        <v>2</v>
      </c>
      <c r="U41" s="14">
        <v>1</v>
      </c>
      <c r="V41" s="14">
        <v>0</v>
      </c>
      <c r="W41" s="14">
        <v>1</v>
      </c>
      <c r="X41" s="14" t="s">
        <v>9</v>
      </c>
      <c r="Y41" s="14">
        <v>1</v>
      </c>
      <c r="Z41" s="14">
        <v>1</v>
      </c>
      <c r="AA41" s="14">
        <v>6</v>
      </c>
      <c r="AB41" s="14" t="s">
        <v>9</v>
      </c>
      <c r="AC41" s="14">
        <v>0</v>
      </c>
      <c r="AD41" s="14" t="s">
        <v>9</v>
      </c>
      <c r="AE41" s="14" t="s">
        <v>9</v>
      </c>
      <c r="AF41" s="14">
        <v>0</v>
      </c>
      <c r="AG41" s="14">
        <v>0</v>
      </c>
      <c r="AH41" s="14">
        <v>0</v>
      </c>
      <c r="AI41" s="55">
        <f t="shared" si="9"/>
        <v>25</v>
      </c>
      <c r="AJ41" s="151"/>
    </row>
    <row r="42" spans="1:36" x14ac:dyDescent="0.25">
      <c r="A42" s="143"/>
      <c r="B42" s="127" t="s">
        <v>45</v>
      </c>
      <c r="C42" s="51" t="s">
        <v>46</v>
      </c>
      <c r="D42" s="3">
        <v>2</v>
      </c>
      <c r="E42" s="3">
        <v>12</v>
      </c>
      <c r="F42" s="3">
        <v>4</v>
      </c>
      <c r="G42" s="3">
        <v>3</v>
      </c>
      <c r="H42" s="3">
        <v>0</v>
      </c>
      <c r="I42" s="3">
        <v>3</v>
      </c>
      <c r="J42" s="3" t="s">
        <v>9</v>
      </c>
      <c r="K42" s="3" t="s">
        <v>9</v>
      </c>
      <c r="L42" s="3">
        <v>2</v>
      </c>
      <c r="M42" s="3">
        <v>5</v>
      </c>
      <c r="N42" s="3">
        <v>4</v>
      </c>
      <c r="O42" s="3">
        <v>5</v>
      </c>
      <c r="P42" s="3" t="s">
        <v>9</v>
      </c>
      <c r="Q42" s="3" t="s">
        <v>9</v>
      </c>
      <c r="R42" s="3">
        <v>5</v>
      </c>
      <c r="S42" s="3">
        <v>2</v>
      </c>
      <c r="T42" s="3">
        <v>2</v>
      </c>
      <c r="U42" s="3">
        <v>2</v>
      </c>
      <c r="V42" s="3">
        <v>0</v>
      </c>
      <c r="W42" s="3">
        <v>3</v>
      </c>
      <c r="X42" s="3" t="s">
        <v>9</v>
      </c>
      <c r="Y42" s="3">
        <v>2</v>
      </c>
      <c r="Z42" s="3">
        <v>6</v>
      </c>
      <c r="AA42" s="3">
        <v>26</v>
      </c>
      <c r="AB42" s="3" t="s">
        <v>9</v>
      </c>
      <c r="AC42" s="3">
        <v>10</v>
      </c>
      <c r="AD42" s="3" t="s">
        <v>9</v>
      </c>
      <c r="AE42" s="3" t="s">
        <v>9</v>
      </c>
      <c r="AF42" s="3">
        <v>0</v>
      </c>
      <c r="AG42" s="3">
        <v>4</v>
      </c>
      <c r="AH42" s="3">
        <v>11</v>
      </c>
      <c r="AI42" s="55">
        <f t="shared" si="9"/>
        <v>113</v>
      </c>
      <c r="AJ42" s="152"/>
    </row>
    <row r="43" spans="1:36" ht="13.5" thickBot="1" x14ac:dyDescent="0.3">
      <c r="A43" s="144"/>
      <c r="B43" s="128"/>
      <c r="C43" s="52" t="s">
        <v>47</v>
      </c>
      <c r="D43" s="8">
        <v>1</v>
      </c>
      <c r="E43" s="8">
        <v>0</v>
      </c>
      <c r="F43" s="8">
        <v>0</v>
      </c>
      <c r="G43" s="8">
        <v>1</v>
      </c>
      <c r="H43" s="8">
        <v>0</v>
      </c>
      <c r="I43" s="8">
        <v>3</v>
      </c>
      <c r="J43" s="8" t="s">
        <v>9</v>
      </c>
      <c r="K43" s="8" t="s">
        <v>9</v>
      </c>
      <c r="L43" s="8">
        <v>2</v>
      </c>
      <c r="M43" s="8">
        <v>0</v>
      </c>
      <c r="N43" s="8">
        <v>1</v>
      </c>
      <c r="O43" s="8">
        <v>0</v>
      </c>
      <c r="P43" s="8" t="s">
        <v>9</v>
      </c>
      <c r="Q43" s="8" t="s">
        <v>9</v>
      </c>
      <c r="R43" s="8">
        <v>0</v>
      </c>
      <c r="S43" s="8">
        <v>3</v>
      </c>
      <c r="T43" s="8">
        <v>0</v>
      </c>
      <c r="U43" s="8">
        <v>1</v>
      </c>
      <c r="V43" s="8">
        <v>0</v>
      </c>
      <c r="W43" s="8">
        <v>1</v>
      </c>
      <c r="X43" s="8" t="s">
        <v>9</v>
      </c>
      <c r="Y43" s="8">
        <v>0</v>
      </c>
      <c r="Z43" s="8">
        <v>1</v>
      </c>
      <c r="AA43" s="8">
        <v>1</v>
      </c>
      <c r="AB43" s="8" t="s">
        <v>9</v>
      </c>
      <c r="AC43" s="8">
        <v>0</v>
      </c>
      <c r="AD43" s="8" t="s">
        <v>9</v>
      </c>
      <c r="AE43" s="8" t="s">
        <v>9</v>
      </c>
      <c r="AF43" s="8">
        <v>0</v>
      </c>
      <c r="AG43" s="8">
        <v>0</v>
      </c>
      <c r="AH43" s="8">
        <v>0</v>
      </c>
      <c r="AI43" s="56">
        <f t="shared" si="9"/>
        <v>15</v>
      </c>
      <c r="AJ43" s="153"/>
    </row>
    <row r="44" spans="1:36" x14ac:dyDescent="0.25">
      <c r="A44" s="124" t="s">
        <v>52</v>
      </c>
      <c r="B44" s="124" t="s">
        <v>18</v>
      </c>
      <c r="C44" s="49" t="s">
        <v>48</v>
      </c>
      <c r="D44" s="7">
        <v>12</v>
      </c>
      <c r="E44" s="7">
        <v>35</v>
      </c>
      <c r="F44" s="7">
        <v>27</v>
      </c>
      <c r="G44" s="7">
        <v>11</v>
      </c>
      <c r="H44" s="7">
        <v>23</v>
      </c>
      <c r="I44" s="7" t="s">
        <v>9</v>
      </c>
      <c r="J44" s="7" t="s">
        <v>9</v>
      </c>
      <c r="K44" s="7" t="s">
        <v>9</v>
      </c>
      <c r="L44" s="7">
        <v>0</v>
      </c>
      <c r="M44" s="7">
        <v>11</v>
      </c>
      <c r="N44" s="7">
        <v>3</v>
      </c>
      <c r="O44" s="7">
        <v>6</v>
      </c>
      <c r="P44" s="7" t="s">
        <v>9</v>
      </c>
      <c r="Q44" s="7" t="s">
        <v>9</v>
      </c>
      <c r="R44" s="7">
        <v>9</v>
      </c>
      <c r="S44" s="7">
        <v>2</v>
      </c>
      <c r="T44" s="7">
        <v>2</v>
      </c>
      <c r="U44" s="7">
        <v>6</v>
      </c>
      <c r="V44" s="7">
        <v>10</v>
      </c>
      <c r="W44" s="7">
        <v>1</v>
      </c>
      <c r="X44" s="7" t="s">
        <v>9</v>
      </c>
      <c r="Y44" s="7">
        <v>3</v>
      </c>
      <c r="Z44" s="7">
        <v>9</v>
      </c>
      <c r="AA44" s="7">
        <v>16</v>
      </c>
      <c r="AB44" s="7" t="s">
        <v>9</v>
      </c>
      <c r="AC44" s="7">
        <v>13</v>
      </c>
      <c r="AD44" s="7">
        <v>30</v>
      </c>
      <c r="AE44" s="7" t="s">
        <v>9</v>
      </c>
      <c r="AF44" s="7">
        <v>9</v>
      </c>
      <c r="AG44" s="7">
        <v>10</v>
      </c>
      <c r="AH44" s="7">
        <v>14</v>
      </c>
      <c r="AI44" s="54">
        <f t="shared" ref="AI44:AI49" si="11">SUM(D44:AH44)</f>
        <v>262</v>
      </c>
      <c r="AJ44" s="154">
        <f>SUM(AI44:AI49)</f>
        <v>553</v>
      </c>
    </row>
    <row r="45" spans="1:36" x14ac:dyDescent="0.25">
      <c r="A45" s="125"/>
      <c r="B45" s="125"/>
      <c r="C45" s="50" t="s">
        <v>50</v>
      </c>
      <c r="D45" s="14">
        <v>4</v>
      </c>
      <c r="E45" s="14">
        <v>4</v>
      </c>
      <c r="F45" s="14">
        <v>6</v>
      </c>
      <c r="G45" s="14">
        <v>4</v>
      </c>
      <c r="H45" s="14">
        <v>1</v>
      </c>
      <c r="I45" s="14" t="s">
        <v>9</v>
      </c>
      <c r="J45" s="14" t="s">
        <v>9</v>
      </c>
      <c r="K45" s="14" t="s">
        <v>9</v>
      </c>
      <c r="L45" s="14">
        <v>10</v>
      </c>
      <c r="M45" s="14">
        <v>5</v>
      </c>
      <c r="N45" s="14">
        <v>3</v>
      </c>
      <c r="O45" s="14">
        <v>3</v>
      </c>
      <c r="P45" s="14" t="s">
        <v>9</v>
      </c>
      <c r="Q45" s="14" t="s">
        <v>9</v>
      </c>
      <c r="R45" s="14">
        <v>10</v>
      </c>
      <c r="S45" s="14">
        <v>6</v>
      </c>
      <c r="T45" s="14">
        <v>5</v>
      </c>
      <c r="U45" s="14">
        <v>2</v>
      </c>
      <c r="V45" s="14">
        <v>4</v>
      </c>
      <c r="W45" s="14">
        <v>10</v>
      </c>
      <c r="X45" s="14" t="s">
        <v>9</v>
      </c>
      <c r="Y45" s="14">
        <v>1</v>
      </c>
      <c r="Z45" s="14">
        <v>1</v>
      </c>
      <c r="AA45" s="14">
        <v>6</v>
      </c>
      <c r="AB45" s="14" t="s">
        <v>9</v>
      </c>
      <c r="AC45" s="14">
        <v>6</v>
      </c>
      <c r="AD45" s="14">
        <v>4</v>
      </c>
      <c r="AE45" s="14" t="s">
        <v>9</v>
      </c>
      <c r="AF45" s="14">
        <v>3</v>
      </c>
      <c r="AG45" s="14">
        <v>4</v>
      </c>
      <c r="AH45" s="14">
        <v>6</v>
      </c>
      <c r="AI45" s="55">
        <f t="shared" si="11"/>
        <v>108</v>
      </c>
      <c r="AJ45" s="151"/>
    </row>
    <row r="46" spans="1:36" x14ac:dyDescent="0.25">
      <c r="A46" s="125"/>
      <c r="B46" s="125"/>
      <c r="C46" s="50" t="s">
        <v>49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 t="s">
        <v>9</v>
      </c>
      <c r="J46" s="14" t="s">
        <v>9</v>
      </c>
      <c r="K46" s="14" t="s">
        <v>9</v>
      </c>
      <c r="L46" s="14">
        <v>0</v>
      </c>
      <c r="M46" s="14">
        <v>0</v>
      </c>
      <c r="N46" s="14">
        <v>0</v>
      </c>
      <c r="O46" s="14">
        <v>0</v>
      </c>
      <c r="P46" s="14" t="s">
        <v>9</v>
      </c>
      <c r="Q46" s="14" t="s">
        <v>9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 t="s">
        <v>9</v>
      </c>
      <c r="Y46" s="14">
        <v>0</v>
      </c>
      <c r="Z46" s="14">
        <v>0</v>
      </c>
      <c r="AA46" s="14">
        <v>0</v>
      </c>
      <c r="AB46" s="14" t="s">
        <v>9</v>
      </c>
      <c r="AC46" s="14">
        <v>0</v>
      </c>
      <c r="AD46" s="14">
        <v>0</v>
      </c>
      <c r="AE46" s="14" t="s">
        <v>9</v>
      </c>
      <c r="AF46" s="14">
        <v>0</v>
      </c>
      <c r="AG46" s="14">
        <v>0</v>
      </c>
      <c r="AH46" s="14">
        <v>0</v>
      </c>
      <c r="AI46" s="55">
        <f t="shared" si="11"/>
        <v>0</v>
      </c>
      <c r="AJ46" s="151"/>
    </row>
    <row r="47" spans="1:36" x14ac:dyDescent="0.25">
      <c r="A47" s="125"/>
      <c r="B47" s="126"/>
      <c r="C47" s="50" t="s">
        <v>51</v>
      </c>
      <c r="D47" s="14">
        <v>0</v>
      </c>
      <c r="E47" s="14">
        <v>2</v>
      </c>
      <c r="F47" s="14">
        <v>0</v>
      </c>
      <c r="G47" s="14">
        <v>1</v>
      </c>
      <c r="H47" s="14">
        <v>0</v>
      </c>
      <c r="I47" s="14" t="s">
        <v>9</v>
      </c>
      <c r="J47" s="14" t="s">
        <v>9</v>
      </c>
      <c r="K47" s="14" t="s">
        <v>9</v>
      </c>
      <c r="L47" s="14">
        <v>0</v>
      </c>
      <c r="M47" s="14">
        <v>0</v>
      </c>
      <c r="N47" s="14">
        <v>3</v>
      </c>
      <c r="O47" s="14">
        <v>4</v>
      </c>
      <c r="P47" s="14" t="s">
        <v>9</v>
      </c>
      <c r="Q47" s="14" t="s">
        <v>9</v>
      </c>
      <c r="R47" s="14">
        <v>0</v>
      </c>
      <c r="S47" s="14">
        <v>0</v>
      </c>
      <c r="T47" s="14">
        <v>2</v>
      </c>
      <c r="U47" s="14">
        <v>1</v>
      </c>
      <c r="V47" s="14">
        <v>0</v>
      </c>
      <c r="W47" s="14">
        <v>0</v>
      </c>
      <c r="X47" s="14" t="s">
        <v>9</v>
      </c>
      <c r="Y47" s="14">
        <v>0</v>
      </c>
      <c r="Z47" s="14">
        <v>0</v>
      </c>
      <c r="AA47" s="14">
        <v>0</v>
      </c>
      <c r="AB47" s="14" t="s">
        <v>9</v>
      </c>
      <c r="AC47" s="14">
        <v>5</v>
      </c>
      <c r="AD47" s="14">
        <v>1</v>
      </c>
      <c r="AE47" s="14" t="s">
        <v>9</v>
      </c>
      <c r="AF47" s="14">
        <v>1</v>
      </c>
      <c r="AG47" s="14">
        <v>0</v>
      </c>
      <c r="AH47" s="14">
        <v>1</v>
      </c>
      <c r="AI47" s="55">
        <f t="shared" si="11"/>
        <v>21</v>
      </c>
      <c r="AJ47" s="151"/>
    </row>
    <row r="48" spans="1:36" x14ac:dyDescent="0.25">
      <c r="A48" s="125"/>
      <c r="B48" s="127" t="s">
        <v>45</v>
      </c>
      <c r="C48" s="51" t="s">
        <v>46</v>
      </c>
      <c r="D48" s="3">
        <v>2</v>
      </c>
      <c r="E48" s="3">
        <v>32</v>
      </c>
      <c r="F48" s="3">
        <v>4</v>
      </c>
      <c r="G48" s="3">
        <v>3</v>
      </c>
      <c r="H48" s="14">
        <v>0</v>
      </c>
      <c r="I48" s="3" t="s">
        <v>9</v>
      </c>
      <c r="J48" s="3" t="s">
        <v>9</v>
      </c>
      <c r="K48" s="3" t="s">
        <v>9</v>
      </c>
      <c r="L48" s="3">
        <v>11</v>
      </c>
      <c r="M48" s="3">
        <v>0</v>
      </c>
      <c r="N48" s="3">
        <v>3</v>
      </c>
      <c r="O48" s="3">
        <v>4</v>
      </c>
      <c r="P48" s="3" t="s">
        <v>9</v>
      </c>
      <c r="Q48" s="3" t="s">
        <v>9</v>
      </c>
      <c r="R48" s="3">
        <v>4</v>
      </c>
      <c r="S48" s="3">
        <v>0</v>
      </c>
      <c r="T48" s="3">
        <v>8</v>
      </c>
      <c r="U48" s="3">
        <v>3</v>
      </c>
      <c r="V48" s="3">
        <v>1</v>
      </c>
      <c r="W48" s="3">
        <v>0</v>
      </c>
      <c r="X48" s="3" t="s">
        <v>9</v>
      </c>
      <c r="Y48" s="3">
        <v>0</v>
      </c>
      <c r="Z48" s="3">
        <v>1</v>
      </c>
      <c r="AA48" s="3">
        <v>12</v>
      </c>
      <c r="AB48" s="3" t="s">
        <v>9</v>
      </c>
      <c r="AC48" s="3">
        <v>12</v>
      </c>
      <c r="AD48" s="3">
        <v>6</v>
      </c>
      <c r="AE48" s="3" t="s">
        <v>9</v>
      </c>
      <c r="AF48" s="3">
        <v>8</v>
      </c>
      <c r="AG48" s="3">
        <v>7</v>
      </c>
      <c r="AH48" s="3">
        <v>12</v>
      </c>
      <c r="AI48" s="55">
        <f t="shared" si="11"/>
        <v>133</v>
      </c>
      <c r="AJ48" s="152"/>
    </row>
    <row r="49" spans="1:36" ht="13.5" thickBot="1" x14ac:dyDescent="0.3">
      <c r="A49" s="128"/>
      <c r="B49" s="128"/>
      <c r="C49" s="52" t="s">
        <v>47</v>
      </c>
      <c r="D49" s="8">
        <v>0</v>
      </c>
      <c r="E49" s="8">
        <v>0</v>
      </c>
      <c r="F49" s="8">
        <v>0</v>
      </c>
      <c r="G49" s="8">
        <v>1</v>
      </c>
      <c r="H49" s="36">
        <v>5</v>
      </c>
      <c r="I49" s="8" t="s">
        <v>9</v>
      </c>
      <c r="J49" s="8" t="s">
        <v>9</v>
      </c>
      <c r="K49" s="8" t="s">
        <v>9</v>
      </c>
      <c r="L49" s="8">
        <v>1</v>
      </c>
      <c r="M49" s="8">
        <v>2</v>
      </c>
      <c r="N49" s="8">
        <v>1</v>
      </c>
      <c r="O49" s="8">
        <v>0</v>
      </c>
      <c r="P49" s="8" t="s">
        <v>9</v>
      </c>
      <c r="Q49" s="8" t="s">
        <v>9</v>
      </c>
      <c r="R49" s="8">
        <v>0</v>
      </c>
      <c r="S49" s="8">
        <v>2</v>
      </c>
      <c r="T49" s="8">
        <v>3</v>
      </c>
      <c r="U49" s="8">
        <v>1</v>
      </c>
      <c r="V49" s="8">
        <v>1</v>
      </c>
      <c r="W49" s="8">
        <v>0</v>
      </c>
      <c r="X49" s="8" t="s">
        <v>9</v>
      </c>
      <c r="Y49" s="8">
        <v>0</v>
      </c>
      <c r="Z49" s="8">
        <v>2</v>
      </c>
      <c r="AA49" s="8">
        <v>0</v>
      </c>
      <c r="AB49" s="8" t="s">
        <v>9</v>
      </c>
      <c r="AC49" s="8">
        <v>5</v>
      </c>
      <c r="AD49" s="8">
        <v>2</v>
      </c>
      <c r="AE49" s="8" t="s">
        <v>9</v>
      </c>
      <c r="AF49" s="8">
        <v>1</v>
      </c>
      <c r="AG49" s="8">
        <v>0</v>
      </c>
      <c r="AH49" s="8">
        <v>2</v>
      </c>
      <c r="AI49" s="56">
        <f t="shared" si="11"/>
        <v>29</v>
      </c>
      <c r="AJ49" s="153"/>
    </row>
    <row r="50" spans="1:36" ht="15" customHeight="1" x14ac:dyDescent="0.25">
      <c r="A50" s="129" t="s">
        <v>65</v>
      </c>
      <c r="B50" s="124" t="s">
        <v>18</v>
      </c>
      <c r="C50" s="49" t="s">
        <v>48</v>
      </c>
      <c r="D50" s="7">
        <v>10</v>
      </c>
      <c r="E50" s="7">
        <v>1</v>
      </c>
      <c r="F50" s="7">
        <v>15</v>
      </c>
      <c r="G50" s="7">
        <v>9</v>
      </c>
      <c r="H50" s="7">
        <v>34</v>
      </c>
      <c r="I50" s="7" t="s">
        <v>9</v>
      </c>
      <c r="J50" s="7" t="s">
        <v>9</v>
      </c>
      <c r="K50" s="7">
        <v>0</v>
      </c>
      <c r="L50" s="7">
        <v>14</v>
      </c>
      <c r="M50" s="7">
        <v>2</v>
      </c>
      <c r="N50" s="7">
        <v>0</v>
      </c>
      <c r="O50" s="7">
        <v>4</v>
      </c>
      <c r="P50" s="7">
        <v>14</v>
      </c>
      <c r="Q50" s="20" t="s">
        <v>9</v>
      </c>
      <c r="R50" s="7">
        <v>0</v>
      </c>
      <c r="S50" s="7">
        <v>1</v>
      </c>
      <c r="T50" s="7">
        <v>3</v>
      </c>
      <c r="U50" s="7">
        <v>11</v>
      </c>
      <c r="V50" s="7">
        <v>2</v>
      </c>
      <c r="W50" s="7" t="s">
        <v>9</v>
      </c>
      <c r="X50" s="7" t="s">
        <v>9</v>
      </c>
      <c r="Y50" s="7">
        <v>1</v>
      </c>
      <c r="Z50" s="7">
        <v>24</v>
      </c>
      <c r="AA50" s="7">
        <v>5</v>
      </c>
      <c r="AB50" s="7" t="s">
        <v>9</v>
      </c>
      <c r="AC50" s="7">
        <v>2</v>
      </c>
      <c r="AD50" s="7">
        <v>22</v>
      </c>
      <c r="AE50" s="7" t="s">
        <v>9</v>
      </c>
      <c r="AF50" s="7">
        <v>11</v>
      </c>
      <c r="AG50" s="7">
        <v>2</v>
      </c>
      <c r="AH50" s="7">
        <v>49</v>
      </c>
      <c r="AI50" s="57">
        <f t="shared" ref="AI50:AI55" si="12">SUM(D50:AH50)</f>
        <v>236</v>
      </c>
      <c r="AJ50" s="154">
        <f>SUM(AI50:AI55)</f>
        <v>513</v>
      </c>
    </row>
    <row r="51" spans="1:36" x14ac:dyDescent="0.25">
      <c r="A51" s="126"/>
      <c r="B51" s="125"/>
      <c r="C51" s="50" t="s">
        <v>50</v>
      </c>
      <c r="D51" s="14">
        <v>1</v>
      </c>
      <c r="E51" s="14">
        <v>2</v>
      </c>
      <c r="F51" s="3">
        <v>1</v>
      </c>
      <c r="G51" s="3">
        <v>4</v>
      </c>
      <c r="H51" s="14">
        <v>3</v>
      </c>
      <c r="I51" s="14" t="s">
        <v>9</v>
      </c>
      <c r="J51" s="14" t="s">
        <v>9</v>
      </c>
      <c r="K51" s="14">
        <v>7</v>
      </c>
      <c r="L51" s="14">
        <v>4</v>
      </c>
      <c r="M51" s="3">
        <v>6</v>
      </c>
      <c r="N51" s="14">
        <v>5</v>
      </c>
      <c r="O51" s="14">
        <v>4</v>
      </c>
      <c r="P51" s="3">
        <v>5</v>
      </c>
      <c r="Q51" s="22" t="s">
        <v>9</v>
      </c>
      <c r="R51" s="14">
        <v>2</v>
      </c>
      <c r="S51" s="14">
        <v>2</v>
      </c>
      <c r="T51" s="14">
        <v>3</v>
      </c>
      <c r="U51" s="14">
        <v>1</v>
      </c>
      <c r="V51" s="14">
        <v>4</v>
      </c>
      <c r="W51" s="14" t="s">
        <v>9</v>
      </c>
      <c r="X51" s="14" t="s">
        <v>9</v>
      </c>
      <c r="Y51" s="14">
        <v>4</v>
      </c>
      <c r="Z51" s="3">
        <v>6</v>
      </c>
      <c r="AA51" s="14">
        <v>3</v>
      </c>
      <c r="AB51" s="14" t="s">
        <v>9</v>
      </c>
      <c r="AC51" s="14">
        <v>3</v>
      </c>
      <c r="AD51" s="14">
        <v>2</v>
      </c>
      <c r="AE51" s="14" t="s">
        <v>9</v>
      </c>
      <c r="AF51" s="14">
        <v>0</v>
      </c>
      <c r="AG51" s="14">
        <v>0</v>
      </c>
      <c r="AH51" s="14">
        <v>1</v>
      </c>
      <c r="AI51" s="48">
        <f t="shared" si="12"/>
        <v>73</v>
      </c>
      <c r="AJ51" s="151"/>
    </row>
    <row r="52" spans="1:36" x14ac:dyDescent="0.25">
      <c r="A52" s="126"/>
      <c r="B52" s="125"/>
      <c r="C52" s="50" t="s">
        <v>49</v>
      </c>
      <c r="D52" s="14">
        <v>0</v>
      </c>
      <c r="E52" s="14">
        <v>0</v>
      </c>
      <c r="F52" s="3">
        <v>0</v>
      </c>
      <c r="G52" s="3">
        <v>0</v>
      </c>
      <c r="H52" s="14">
        <v>0</v>
      </c>
      <c r="I52" s="14" t="s">
        <v>9</v>
      </c>
      <c r="J52" s="14" t="s">
        <v>9</v>
      </c>
      <c r="K52" s="14">
        <v>0</v>
      </c>
      <c r="L52" s="14">
        <v>0</v>
      </c>
      <c r="M52" s="3">
        <v>0</v>
      </c>
      <c r="N52" s="14">
        <v>0</v>
      </c>
      <c r="O52" s="14">
        <v>0</v>
      </c>
      <c r="P52" s="3">
        <v>0</v>
      </c>
      <c r="Q52" s="22" t="s">
        <v>9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 t="s">
        <v>9</v>
      </c>
      <c r="X52" s="14" t="s">
        <v>9</v>
      </c>
      <c r="Y52" s="14">
        <v>0</v>
      </c>
      <c r="Z52" s="3">
        <v>0</v>
      </c>
      <c r="AA52" s="14">
        <v>0</v>
      </c>
      <c r="AB52" s="14" t="s">
        <v>9</v>
      </c>
      <c r="AC52" s="14">
        <v>0</v>
      </c>
      <c r="AD52" s="14">
        <v>0</v>
      </c>
      <c r="AE52" s="14" t="s">
        <v>9</v>
      </c>
      <c r="AF52" s="14">
        <v>0</v>
      </c>
      <c r="AG52" s="14">
        <v>0</v>
      </c>
      <c r="AH52" s="14">
        <v>0</v>
      </c>
      <c r="AI52" s="48">
        <f t="shared" si="12"/>
        <v>0</v>
      </c>
      <c r="AJ52" s="151"/>
    </row>
    <row r="53" spans="1:36" x14ac:dyDescent="0.25">
      <c r="A53" s="126"/>
      <c r="B53" s="126"/>
      <c r="C53" s="50" t="s">
        <v>51</v>
      </c>
      <c r="D53" s="14">
        <v>2</v>
      </c>
      <c r="E53" s="14">
        <v>2</v>
      </c>
      <c r="F53" s="3">
        <v>1</v>
      </c>
      <c r="G53" s="3">
        <v>2</v>
      </c>
      <c r="H53" s="14">
        <v>0</v>
      </c>
      <c r="I53" s="14" t="s">
        <v>9</v>
      </c>
      <c r="J53" s="14" t="s">
        <v>9</v>
      </c>
      <c r="K53" s="14">
        <v>3</v>
      </c>
      <c r="L53" s="14">
        <v>1</v>
      </c>
      <c r="M53" s="3">
        <v>2</v>
      </c>
      <c r="N53" s="14">
        <v>2</v>
      </c>
      <c r="O53" s="14">
        <v>1</v>
      </c>
      <c r="P53" s="3">
        <v>2</v>
      </c>
      <c r="Q53" s="22" t="s">
        <v>9</v>
      </c>
      <c r="R53" s="14">
        <v>2</v>
      </c>
      <c r="S53" s="14">
        <v>2</v>
      </c>
      <c r="T53" s="14">
        <v>2</v>
      </c>
      <c r="U53" s="14">
        <v>4</v>
      </c>
      <c r="V53" s="14">
        <v>0</v>
      </c>
      <c r="W53" s="14" t="s">
        <v>9</v>
      </c>
      <c r="X53" s="14" t="s">
        <v>9</v>
      </c>
      <c r="Y53" s="14">
        <v>2</v>
      </c>
      <c r="Z53" s="3">
        <v>1</v>
      </c>
      <c r="AA53" s="14">
        <v>0</v>
      </c>
      <c r="AB53" s="14" t="s">
        <v>9</v>
      </c>
      <c r="AC53" s="14">
        <v>0</v>
      </c>
      <c r="AD53" s="14">
        <v>0</v>
      </c>
      <c r="AE53" s="14" t="s">
        <v>9</v>
      </c>
      <c r="AF53" s="14">
        <v>0</v>
      </c>
      <c r="AG53" s="14">
        <v>1</v>
      </c>
      <c r="AH53" s="14">
        <v>0</v>
      </c>
      <c r="AI53" s="48">
        <f t="shared" si="12"/>
        <v>32</v>
      </c>
      <c r="AJ53" s="151"/>
    </row>
    <row r="54" spans="1:36" x14ac:dyDescent="0.25">
      <c r="A54" s="130"/>
      <c r="B54" s="127" t="s">
        <v>45</v>
      </c>
      <c r="C54" s="51" t="s">
        <v>46</v>
      </c>
      <c r="D54" s="3">
        <v>2</v>
      </c>
      <c r="E54" s="3">
        <v>10</v>
      </c>
      <c r="F54" s="3">
        <v>9</v>
      </c>
      <c r="G54" s="3">
        <v>4</v>
      </c>
      <c r="H54" s="3">
        <v>3</v>
      </c>
      <c r="I54" s="3" t="s">
        <v>9</v>
      </c>
      <c r="J54" s="3" t="s">
        <v>9</v>
      </c>
      <c r="K54" s="3">
        <v>10</v>
      </c>
      <c r="L54" s="3">
        <v>12</v>
      </c>
      <c r="M54" s="3">
        <v>8</v>
      </c>
      <c r="N54" s="3">
        <v>7</v>
      </c>
      <c r="O54" s="3">
        <v>5</v>
      </c>
      <c r="P54" s="3">
        <v>5</v>
      </c>
      <c r="Q54" s="17" t="s">
        <v>9</v>
      </c>
      <c r="R54" s="3">
        <v>1</v>
      </c>
      <c r="S54" s="3">
        <v>7</v>
      </c>
      <c r="T54" s="3">
        <v>5</v>
      </c>
      <c r="U54" s="3">
        <v>16</v>
      </c>
      <c r="V54" s="3">
        <v>2</v>
      </c>
      <c r="W54" s="3" t="s">
        <v>9</v>
      </c>
      <c r="X54" s="3" t="s">
        <v>9</v>
      </c>
      <c r="Y54" s="3">
        <v>3</v>
      </c>
      <c r="Z54" s="3">
        <v>4</v>
      </c>
      <c r="AA54" s="3">
        <v>1</v>
      </c>
      <c r="AB54" s="3" t="s">
        <v>9</v>
      </c>
      <c r="AC54" s="3">
        <v>7</v>
      </c>
      <c r="AD54" s="3">
        <v>1</v>
      </c>
      <c r="AE54" s="3" t="s">
        <v>9</v>
      </c>
      <c r="AF54" s="3">
        <v>5</v>
      </c>
      <c r="AG54" s="3">
        <v>3</v>
      </c>
      <c r="AH54" s="3">
        <v>40</v>
      </c>
      <c r="AI54" s="48">
        <f t="shared" si="12"/>
        <v>170</v>
      </c>
      <c r="AJ54" s="152"/>
    </row>
    <row r="55" spans="1:36" ht="13.5" thickBot="1" x14ac:dyDescent="0.3">
      <c r="A55" s="131"/>
      <c r="B55" s="128"/>
      <c r="C55" s="52" t="s">
        <v>47</v>
      </c>
      <c r="D55" s="8">
        <v>1</v>
      </c>
      <c r="E55" s="8">
        <v>0</v>
      </c>
      <c r="F55" s="8">
        <v>0</v>
      </c>
      <c r="G55" s="8">
        <v>0</v>
      </c>
      <c r="H55" s="8">
        <v>0</v>
      </c>
      <c r="I55" s="8" t="s">
        <v>9</v>
      </c>
      <c r="J55" s="8" t="s">
        <v>9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21" t="s">
        <v>9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 t="s">
        <v>9</v>
      </c>
      <c r="X55" s="8" t="s">
        <v>9</v>
      </c>
      <c r="Y55" s="8">
        <v>1</v>
      </c>
      <c r="Z55" s="8">
        <v>0</v>
      </c>
      <c r="AA55" s="8">
        <v>0</v>
      </c>
      <c r="AB55" s="8" t="s">
        <v>9</v>
      </c>
      <c r="AC55" s="8">
        <v>0</v>
      </c>
      <c r="AD55" s="8">
        <v>0</v>
      </c>
      <c r="AE55" s="8" t="s">
        <v>9</v>
      </c>
      <c r="AF55" s="8">
        <v>0</v>
      </c>
      <c r="AG55" s="8">
        <v>0</v>
      </c>
      <c r="AH55" s="8">
        <v>0</v>
      </c>
      <c r="AI55" s="58">
        <f t="shared" si="12"/>
        <v>2</v>
      </c>
      <c r="AJ55" s="153"/>
    </row>
    <row r="56" spans="1:36" x14ac:dyDescent="0.25">
      <c r="A56" s="106" t="s">
        <v>86</v>
      </c>
      <c r="B56" s="124" t="s">
        <v>18</v>
      </c>
      <c r="C56" s="49" t="s">
        <v>48</v>
      </c>
      <c r="D56" s="66">
        <v>0</v>
      </c>
      <c r="E56" s="7">
        <v>1</v>
      </c>
      <c r="F56" s="7">
        <v>1</v>
      </c>
      <c r="G56" s="7">
        <v>0</v>
      </c>
      <c r="H56" s="7">
        <v>33</v>
      </c>
      <c r="I56" s="7" t="s">
        <v>9</v>
      </c>
      <c r="J56" s="7" t="s">
        <v>9</v>
      </c>
      <c r="K56" s="7">
        <v>2</v>
      </c>
      <c r="L56" s="7">
        <v>0</v>
      </c>
      <c r="M56" s="7">
        <v>0</v>
      </c>
      <c r="N56" s="7">
        <v>2</v>
      </c>
      <c r="O56" s="7">
        <v>1</v>
      </c>
      <c r="P56" s="7">
        <v>0</v>
      </c>
      <c r="Q56" s="7" t="s">
        <v>9</v>
      </c>
      <c r="R56" s="7">
        <v>0</v>
      </c>
      <c r="S56" s="7">
        <v>1</v>
      </c>
      <c r="T56" s="7">
        <v>9</v>
      </c>
      <c r="U56" s="7" t="s">
        <v>37</v>
      </c>
      <c r="V56" s="7">
        <v>0</v>
      </c>
      <c r="W56" s="7" t="s">
        <v>9</v>
      </c>
      <c r="X56" s="7" t="s">
        <v>9</v>
      </c>
      <c r="Y56" s="7">
        <v>2</v>
      </c>
      <c r="Z56" s="7">
        <v>1</v>
      </c>
      <c r="AA56" s="7">
        <v>1</v>
      </c>
      <c r="AB56" s="7" t="s">
        <v>9</v>
      </c>
      <c r="AC56" s="7">
        <v>1</v>
      </c>
      <c r="AD56" s="7">
        <v>17</v>
      </c>
      <c r="AE56" s="7" t="s">
        <v>9</v>
      </c>
      <c r="AF56" s="7">
        <v>3</v>
      </c>
      <c r="AG56" s="7">
        <v>4</v>
      </c>
      <c r="AH56" s="7">
        <v>0</v>
      </c>
      <c r="AI56" s="45">
        <f t="shared" ref="AI56:AI61" si="13">SUM(D56:AH56)</f>
        <v>79</v>
      </c>
      <c r="AJ56" s="154">
        <f t="shared" ref="AJ56" si="14">SUM(AI56:AI61)</f>
        <v>477</v>
      </c>
    </row>
    <row r="57" spans="1:36" x14ac:dyDescent="0.25">
      <c r="A57" s="72"/>
      <c r="B57" s="125"/>
      <c r="C57" s="50" t="s">
        <v>50</v>
      </c>
      <c r="D57" s="64">
        <v>0</v>
      </c>
      <c r="E57" s="3">
        <v>0</v>
      </c>
      <c r="F57" s="3">
        <v>0</v>
      </c>
      <c r="G57" s="3">
        <v>0</v>
      </c>
      <c r="H57" s="3">
        <v>1</v>
      </c>
      <c r="I57" s="3" t="s">
        <v>9</v>
      </c>
      <c r="J57" s="3" t="s">
        <v>9</v>
      </c>
      <c r="K57" s="3">
        <v>1</v>
      </c>
      <c r="L57" s="3">
        <v>0</v>
      </c>
      <c r="M57" s="3">
        <v>1</v>
      </c>
      <c r="N57" s="3">
        <v>0</v>
      </c>
      <c r="O57" s="3">
        <v>0</v>
      </c>
      <c r="P57" s="3">
        <v>0</v>
      </c>
      <c r="Q57" s="3" t="s">
        <v>9</v>
      </c>
      <c r="R57" s="3">
        <v>0</v>
      </c>
      <c r="S57" s="3">
        <v>1</v>
      </c>
      <c r="T57" s="3">
        <v>0</v>
      </c>
      <c r="U57" s="3" t="s">
        <v>37</v>
      </c>
      <c r="V57" s="3">
        <v>0</v>
      </c>
      <c r="W57" s="14" t="s">
        <v>9</v>
      </c>
      <c r="X57" s="14" t="s">
        <v>9</v>
      </c>
      <c r="Y57" s="3">
        <v>0</v>
      </c>
      <c r="Z57" s="3">
        <v>0</v>
      </c>
      <c r="AA57" s="3">
        <v>0</v>
      </c>
      <c r="AB57" s="3" t="s">
        <v>9</v>
      </c>
      <c r="AC57" s="3">
        <v>0</v>
      </c>
      <c r="AD57" s="14">
        <v>0</v>
      </c>
      <c r="AE57" s="14" t="s">
        <v>9</v>
      </c>
      <c r="AF57" s="14">
        <v>0</v>
      </c>
      <c r="AG57" s="14">
        <v>0</v>
      </c>
      <c r="AH57" s="14">
        <v>3</v>
      </c>
      <c r="AI57" s="44">
        <f t="shared" si="13"/>
        <v>7</v>
      </c>
      <c r="AJ57" s="151"/>
    </row>
    <row r="58" spans="1:36" ht="13.5" customHeight="1" x14ac:dyDescent="0.25">
      <c r="A58" s="72"/>
      <c r="B58" s="125"/>
      <c r="C58" s="50" t="s">
        <v>49</v>
      </c>
      <c r="D58" s="64">
        <v>6</v>
      </c>
      <c r="E58" s="3">
        <v>10</v>
      </c>
      <c r="F58" s="3">
        <v>1</v>
      </c>
      <c r="G58" s="3">
        <v>1</v>
      </c>
      <c r="H58" s="3">
        <v>4</v>
      </c>
      <c r="I58" s="3" t="s">
        <v>9</v>
      </c>
      <c r="J58" s="3" t="s">
        <v>9</v>
      </c>
      <c r="K58" s="3">
        <v>9</v>
      </c>
      <c r="L58" s="3">
        <v>14</v>
      </c>
      <c r="M58" s="3">
        <v>21</v>
      </c>
      <c r="N58" s="3">
        <v>9</v>
      </c>
      <c r="O58" s="3">
        <v>11</v>
      </c>
      <c r="P58" s="3">
        <v>7</v>
      </c>
      <c r="Q58" s="3" t="s">
        <v>9</v>
      </c>
      <c r="R58" s="3">
        <v>6</v>
      </c>
      <c r="S58" s="3">
        <v>3</v>
      </c>
      <c r="T58" s="3">
        <v>10</v>
      </c>
      <c r="U58" s="3" t="s">
        <v>37</v>
      </c>
      <c r="V58" s="3">
        <v>11</v>
      </c>
      <c r="W58" s="14" t="s">
        <v>9</v>
      </c>
      <c r="X58" s="14" t="s">
        <v>9</v>
      </c>
      <c r="Y58" s="3">
        <v>8</v>
      </c>
      <c r="Z58" s="3">
        <v>17</v>
      </c>
      <c r="AA58" s="3">
        <v>15</v>
      </c>
      <c r="AB58" s="3" t="s">
        <v>9</v>
      </c>
      <c r="AC58" s="3">
        <v>5</v>
      </c>
      <c r="AD58" s="14">
        <v>0</v>
      </c>
      <c r="AE58" s="14" t="s">
        <v>9</v>
      </c>
      <c r="AF58" s="14">
        <v>16</v>
      </c>
      <c r="AG58" s="14">
        <v>10</v>
      </c>
      <c r="AH58" s="14">
        <v>10</v>
      </c>
      <c r="AI58" s="44">
        <f t="shared" si="13"/>
        <v>204</v>
      </c>
      <c r="AJ58" s="151"/>
    </row>
    <row r="59" spans="1:36" x14ac:dyDescent="0.25">
      <c r="A59" s="72"/>
      <c r="B59" s="126"/>
      <c r="C59" s="50" t="s">
        <v>51</v>
      </c>
      <c r="D59" s="64">
        <v>0</v>
      </c>
      <c r="E59" s="3">
        <v>0</v>
      </c>
      <c r="F59" s="3">
        <v>0</v>
      </c>
      <c r="G59" s="3">
        <v>2</v>
      </c>
      <c r="H59" s="3">
        <v>1</v>
      </c>
      <c r="I59" s="3" t="s">
        <v>9</v>
      </c>
      <c r="J59" s="3" t="s">
        <v>9</v>
      </c>
      <c r="K59" s="3">
        <v>2</v>
      </c>
      <c r="L59" s="3">
        <v>0</v>
      </c>
      <c r="M59" s="3">
        <v>1</v>
      </c>
      <c r="N59" s="3">
        <v>1</v>
      </c>
      <c r="O59" s="3">
        <v>4</v>
      </c>
      <c r="P59" s="3">
        <v>1</v>
      </c>
      <c r="Q59" s="3" t="s">
        <v>9</v>
      </c>
      <c r="R59" s="3">
        <v>6</v>
      </c>
      <c r="S59" s="3">
        <v>3</v>
      </c>
      <c r="T59" s="3">
        <v>8</v>
      </c>
      <c r="U59" s="3" t="s">
        <v>37</v>
      </c>
      <c r="V59" s="3">
        <v>0</v>
      </c>
      <c r="W59" s="14" t="s">
        <v>9</v>
      </c>
      <c r="X59" s="14" t="s">
        <v>9</v>
      </c>
      <c r="Y59" s="3">
        <v>2</v>
      </c>
      <c r="Z59" s="3">
        <v>2</v>
      </c>
      <c r="AA59" s="3">
        <v>0</v>
      </c>
      <c r="AB59" s="3" t="s">
        <v>9</v>
      </c>
      <c r="AC59" s="3">
        <v>2</v>
      </c>
      <c r="AD59" s="14">
        <v>1</v>
      </c>
      <c r="AE59" s="14" t="s">
        <v>9</v>
      </c>
      <c r="AF59" s="14">
        <v>4</v>
      </c>
      <c r="AG59" s="14">
        <v>4</v>
      </c>
      <c r="AH59" s="14">
        <v>9</v>
      </c>
      <c r="AI59" s="44">
        <f t="shared" si="13"/>
        <v>53</v>
      </c>
      <c r="AJ59" s="151"/>
    </row>
    <row r="60" spans="1:36" x14ac:dyDescent="0.25">
      <c r="A60" s="72"/>
      <c r="B60" s="127" t="s">
        <v>45</v>
      </c>
      <c r="C60" s="51" t="s">
        <v>46</v>
      </c>
      <c r="D60" s="64">
        <v>0</v>
      </c>
      <c r="E60" s="3">
        <v>6</v>
      </c>
      <c r="F60" s="3">
        <v>1</v>
      </c>
      <c r="G60" s="3">
        <v>5</v>
      </c>
      <c r="H60" s="3">
        <v>37</v>
      </c>
      <c r="I60" s="3" t="s">
        <v>9</v>
      </c>
      <c r="J60" s="3" t="s">
        <v>9</v>
      </c>
      <c r="K60" s="3">
        <v>2</v>
      </c>
      <c r="L60" s="3">
        <v>1</v>
      </c>
      <c r="M60" s="3">
        <v>3</v>
      </c>
      <c r="N60" s="3">
        <v>6</v>
      </c>
      <c r="O60" s="3">
        <v>10</v>
      </c>
      <c r="P60" s="3">
        <v>6</v>
      </c>
      <c r="Q60" s="3" t="s">
        <v>9</v>
      </c>
      <c r="R60" s="3">
        <v>4</v>
      </c>
      <c r="S60" s="3">
        <v>10</v>
      </c>
      <c r="T60" s="3">
        <v>16</v>
      </c>
      <c r="U60" s="3" t="s">
        <v>37</v>
      </c>
      <c r="V60" s="3">
        <v>2</v>
      </c>
      <c r="W60" s="3" t="s">
        <v>9</v>
      </c>
      <c r="X60" s="3" t="s">
        <v>9</v>
      </c>
      <c r="Y60" s="3">
        <v>0</v>
      </c>
      <c r="Z60" s="3">
        <v>5</v>
      </c>
      <c r="AA60" s="3">
        <v>2</v>
      </c>
      <c r="AB60" s="3" t="s">
        <v>9</v>
      </c>
      <c r="AC60" s="3">
        <v>0</v>
      </c>
      <c r="AD60" s="3">
        <v>5</v>
      </c>
      <c r="AE60" s="3" t="s">
        <v>9</v>
      </c>
      <c r="AF60" s="3">
        <v>1</v>
      </c>
      <c r="AG60" s="3">
        <v>4</v>
      </c>
      <c r="AH60" s="3">
        <v>5</v>
      </c>
      <c r="AI60" s="44">
        <f t="shared" si="13"/>
        <v>131</v>
      </c>
      <c r="AJ60" s="152"/>
    </row>
    <row r="61" spans="1:36" ht="13.5" thickBot="1" x14ac:dyDescent="0.3">
      <c r="A61" s="107"/>
      <c r="B61" s="128"/>
      <c r="C61" s="52" t="s">
        <v>47</v>
      </c>
      <c r="D61" s="67">
        <v>0</v>
      </c>
      <c r="E61" s="8">
        <v>0</v>
      </c>
      <c r="F61" s="8">
        <v>0</v>
      </c>
      <c r="G61" s="8">
        <v>0</v>
      </c>
      <c r="H61" s="8">
        <v>0</v>
      </c>
      <c r="I61" s="8" t="s">
        <v>9</v>
      </c>
      <c r="J61" s="8" t="s">
        <v>9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 t="s">
        <v>9</v>
      </c>
      <c r="R61" s="8">
        <v>0</v>
      </c>
      <c r="S61" s="8">
        <v>0</v>
      </c>
      <c r="T61" s="8">
        <v>0</v>
      </c>
      <c r="U61" s="8" t="s">
        <v>37</v>
      </c>
      <c r="V61" s="8">
        <v>0</v>
      </c>
      <c r="W61" s="8" t="s">
        <v>9</v>
      </c>
      <c r="X61" s="8" t="s">
        <v>9</v>
      </c>
      <c r="Y61" s="8">
        <v>0</v>
      </c>
      <c r="Z61" s="8">
        <v>0</v>
      </c>
      <c r="AA61" s="8">
        <v>0</v>
      </c>
      <c r="AB61" s="8" t="s">
        <v>9</v>
      </c>
      <c r="AC61" s="8">
        <v>0</v>
      </c>
      <c r="AD61" s="8">
        <v>0</v>
      </c>
      <c r="AE61" s="8" t="s">
        <v>9</v>
      </c>
      <c r="AF61" s="8">
        <v>0</v>
      </c>
      <c r="AG61" s="8">
        <v>0</v>
      </c>
      <c r="AH61" s="8">
        <v>3</v>
      </c>
      <c r="AI61" s="8">
        <f t="shared" si="13"/>
        <v>3</v>
      </c>
      <c r="AJ61" s="153"/>
    </row>
    <row r="62" spans="1:36" x14ac:dyDescent="0.25">
      <c r="A62" s="89" t="s">
        <v>72</v>
      </c>
      <c r="B62" s="124" t="s">
        <v>18</v>
      </c>
      <c r="C62" s="49" t="s">
        <v>48</v>
      </c>
      <c r="D62" s="7">
        <v>4</v>
      </c>
      <c r="E62" s="7">
        <v>21</v>
      </c>
      <c r="F62" s="7">
        <v>12</v>
      </c>
      <c r="G62" s="7">
        <v>8</v>
      </c>
      <c r="H62" s="7">
        <v>14</v>
      </c>
      <c r="I62" s="7">
        <v>2</v>
      </c>
      <c r="J62" s="7" t="s">
        <v>9</v>
      </c>
      <c r="K62" s="7">
        <v>9</v>
      </c>
      <c r="L62" s="7">
        <v>10</v>
      </c>
      <c r="M62" s="7">
        <v>0</v>
      </c>
      <c r="N62" s="7">
        <v>2</v>
      </c>
      <c r="O62" s="7">
        <v>0</v>
      </c>
      <c r="P62" s="7">
        <v>1</v>
      </c>
      <c r="Q62" s="7" t="s">
        <v>9</v>
      </c>
      <c r="R62" s="7">
        <v>7</v>
      </c>
      <c r="S62" s="7">
        <v>0</v>
      </c>
      <c r="T62" s="7">
        <v>0</v>
      </c>
      <c r="U62" s="7">
        <v>0</v>
      </c>
      <c r="V62" s="7">
        <v>3</v>
      </c>
      <c r="W62" s="7">
        <v>6</v>
      </c>
      <c r="X62" s="7" t="s">
        <v>9</v>
      </c>
      <c r="Y62" s="7">
        <v>3</v>
      </c>
      <c r="Z62" s="7">
        <v>15</v>
      </c>
      <c r="AA62" s="7">
        <v>3</v>
      </c>
      <c r="AB62" s="7" t="s">
        <v>9</v>
      </c>
      <c r="AC62" s="7">
        <v>13</v>
      </c>
      <c r="AD62" s="7">
        <v>27</v>
      </c>
      <c r="AE62" s="7" t="s">
        <v>9</v>
      </c>
      <c r="AF62" s="7">
        <v>5</v>
      </c>
      <c r="AG62" s="7">
        <v>15</v>
      </c>
      <c r="AH62" s="7">
        <v>32</v>
      </c>
      <c r="AI62" s="54">
        <f t="shared" ref="AI62:AI67" si="15">SUM(D62:AH62)</f>
        <v>212</v>
      </c>
      <c r="AJ62" s="154">
        <f t="shared" ref="AJ62" si="16">SUM(AI62:AI67)</f>
        <v>309</v>
      </c>
    </row>
    <row r="63" spans="1:36" x14ac:dyDescent="0.25">
      <c r="A63" s="121"/>
      <c r="B63" s="125"/>
      <c r="C63" s="50" t="s">
        <v>50</v>
      </c>
      <c r="D63" s="14">
        <v>0</v>
      </c>
      <c r="E63" s="14">
        <v>0</v>
      </c>
      <c r="F63" s="14">
        <v>1</v>
      </c>
      <c r="G63" s="14">
        <v>2</v>
      </c>
      <c r="H63" s="14">
        <v>0</v>
      </c>
      <c r="I63" s="14">
        <v>0</v>
      </c>
      <c r="J63" s="14" t="s">
        <v>9</v>
      </c>
      <c r="K63" s="14">
        <v>1</v>
      </c>
      <c r="L63" s="14">
        <v>1</v>
      </c>
      <c r="M63" s="14">
        <v>1</v>
      </c>
      <c r="N63" s="14">
        <v>1</v>
      </c>
      <c r="O63" s="14">
        <v>0</v>
      </c>
      <c r="P63" s="14">
        <v>0</v>
      </c>
      <c r="Q63" s="14" t="s">
        <v>9</v>
      </c>
      <c r="R63" s="14">
        <v>1</v>
      </c>
      <c r="S63" s="14">
        <v>0</v>
      </c>
      <c r="T63" s="14">
        <v>1</v>
      </c>
      <c r="U63" s="14">
        <v>1</v>
      </c>
      <c r="V63" s="14">
        <v>0</v>
      </c>
      <c r="W63" s="14">
        <v>0</v>
      </c>
      <c r="X63" s="14" t="s">
        <v>9</v>
      </c>
      <c r="Y63" s="14">
        <v>0</v>
      </c>
      <c r="Z63" s="14">
        <v>0</v>
      </c>
      <c r="AA63" s="14">
        <v>0</v>
      </c>
      <c r="AB63" s="14" t="s">
        <v>9</v>
      </c>
      <c r="AC63" s="14">
        <v>1</v>
      </c>
      <c r="AD63" s="14">
        <v>1</v>
      </c>
      <c r="AE63" s="14" t="s">
        <v>9</v>
      </c>
      <c r="AF63" s="14">
        <v>1</v>
      </c>
      <c r="AG63" s="14">
        <v>0</v>
      </c>
      <c r="AH63" s="14">
        <v>1</v>
      </c>
      <c r="AI63" s="55">
        <f t="shared" si="15"/>
        <v>14</v>
      </c>
      <c r="AJ63" s="151"/>
    </row>
    <row r="64" spans="1:36" x14ac:dyDescent="0.25">
      <c r="A64" s="121"/>
      <c r="B64" s="125"/>
      <c r="C64" s="50" t="s">
        <v>49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 t="s">
        <v>9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 t="s">
        <v>9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 t="s">
        <v>9</v>
      </c>
      <c r="Y64" s="14">
        <v>0</v>
      </c>
      <c r="Z64" s="14">
        <v>0</v>
      </c>
      <c r="AA64" s="14">
        <v>0</v>
      </c>
      <c r="AB64" s="14" t="s">
        <v>9</v>
      </c>
      <c r="AC64" s="14">
        <v>0</v>
      </c>
      <c r="AD64" s="14">
        <v>0</v>
      </c>
      <c r="AE64" s="14" t="s">
        <v>9</v>
      </c>
      <c r="AF64" s="14">
        <v>0</v>
      </c>
      <c r="AG64" s="14">
        <v>0</v>
      </c>
      <c r="AH64" s="14">
        <v>0</v>
      </c>
      <c r="AI64" s="55">
        <f t="shared" si="15"/>
        <v>0</v>
      </c>
      <c r="AJ64" s="151"/>
    </row>
    <row r="65" spans="1:36" x14ac:dyDescent="0.25">
      <c r="A65" s="121"/>
      <c r="B65" s="126"/>
      <c r="C65" s="50" t="s">
        <v>51</v>
      </c>
      <c r="D65" s="14">
        <v>0</v>
      </c>
      <c r="E65" s="14">
        <v>0</v>
      </c>
      <c r="F65" s="14">
        <v>0</v>
      </c>
      <c r="G65" s="14">
        <v>1</v>
      </c>
      <c r="H65" s="14">
        <v>0</v>
      </c>
      <c r="I65" s="14">
        <v>0</v>
      </c>
      <c r="J65" s="14" t="s">
        <v>9</v>
      </c>
      <c r="K65" s="14">
        <v>0</v>
      </c>
      <c r="L65" s="14">
        <v>0</v>
      </c>
      <c r="M65" s="14">
        <v>0</v>
      </c>
      <c r="N65" s="14">
        <v>0</v>
      </c>
      <c r="O65" s="14">
        <v>1</v>
      </c>
      <c r="P65" s="14">
        <v>0</v>
      </c>
      <c r="Q65" s="14" t="s">
        <v>9</v>
      </c>
      <c r="R65" s="14">
        <v>0</v>
      </c>
      <c r="S65" s="14">
        <v>0</v>
      </c>
      <c r="T65" s="14">
        <v>1</v>
      </c>
      <c r="U65" s="14">
        <v>0</v>
      </c>
      <c r="V65" s="14">
        <v>0</v>
      </c>
      <c r="W65" s="14">
        <v>0</v>
      </c>
      <c r="X65" s="14" t="s">
        <v>9</v>
      </c>
      <c r="Y65" s="14">
        <v>0</v>
      </c>
      <c r="Z65" s="14">
        <v>0</v>
      </c>
      <c r="AA65" s="14">
        <v>0</v>
      </c>
      <c r="AB65" s="14" t="s">
        <v>9</v>
      </c>
      <c r="AC65" s="14">
        <v>1</v>
      </c>
      <c r="AD65" s="14">
        <v>1</v>
      </c>
      <c r="AE65" s="14" t="s">
        <v>9</v>
      </c>
      <c r="AF65" s="14">
        <v>0</v>
      </c>
      <c r="AG65" s="14">
        <v>0</v>
      </c>
      <c r="AH65" s="14">
        <v>3</v>
      </c>
      <c r="AI65" s="55">
        <f t="shared" si="15"/>
        <v>8</v>
      </c>
      <c r="AJ65" s="151"/>
    </row>
    <row r="66" spans="1:36" x14ac:dyDescent="0.25">
      <c r="A66" s="90"/>
      <c r="B66" s="127" t="s">
        <v>45</v>
      </c>
      <c r="C66" s="51" t="s">
        <v>46</v>
      </c>
      <c r="D66" s="3">
        <v>3</v>
      </c>
      <c r="E66" s="3">
        <v>7</v>
      </c>
      <c r="F66" s="3">
        <v>2</v>
      </c>
      <c r="G66" s="3">
        <v>0</v>
      </c>
      <c r="H66" s="3">
        <v>2</v>
      </c>
      <c r="I66" s="3">
        <v>0</v>
      </c>
      <c r="J66" s="3" t="s">
        <v>9</v>
      </c>
      <c r="K66" s="3">
        <v>1</v>
      </c>
      <c r="L66" s="3">
        <v>0</v>
      </c>
      <c r="M66" s="3">
        <v>2</v>
      </c>
      <c r="N66" s="3">
        <v>10</v>
      </c>
      <c r="O66" s="3">
        <v>2</v>
      </c>
      <c r="P66" s="3">
        <v>2</v>
      </c>
      <c r="Q66" s="3" t="s">
        <v>9</v>
      </c>
      <c r="R66" s="3">
        <v>1</v>
      </c>
      <c r="S66" s="3">
        <v>1</v>
      </c>
      <c r="T66" s="3">
        <v>2</v>
      </c>
      <c r="U66" s="3">
        <v>1</v>
      </c>
      <c r="V66" s="3">
        <v>1</v>
      </c>
      <c r="W66" s="3">
        <v>0</v>
      </c>
      <c r="X66" s="3" t="s">
        <v>9</v>
      </c>
      <c r="Y66" s="3">
        <v>2</v>
      </c>
      <c r="Z66" s="3">
        <v>3</v>
      </c>
      <c r="AA66" s="3">
        <v>3</v>
      </c>
      <c r="AB66" s="3" t="s">
        <v>9</v>
      </c>
      <c r="AC66" s="3">
        <v>7</v>
      </c>
      <c r="AD66" s="3">
        <v>0</v>
      </c>
      <c r="AE66" s="3" t="s">
        <v>9</v>
      </c>
      <c r="AF66" s="3">
        <v>2</v>
      </c>
      <c r="AG66" s="3">
        <v>7</v>
      </c>
      <c r="AH66" s="3">
        <v>14</v>
      </c>
      <c r="AI66" s="55">
        <f t="shared" si="15"/>
        <v>75</v>
      </c>
      <c r="AJ66" s="152"/>
    </row>
    <row r="67" spans="1:36" ht="13.5" thickBot="1" x14ac:dyDescent="0.3">
      <c r="A67" s="91"/>
      <c r="B67" s="128"/>
      <c r="C67" s="52" t="s">
        <v>47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 t="s">
        <v>9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 t="s">
        <v>9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 t="s">
        <v>9</v>
      </c>
      <c r="Y67" s="8">
        <v>0</v>
      </c>
      <c r="Z67" s="8">
        <v>0</v>
      </c>
      <c r="AA67" s="8">
        <v>0</v>
      </c>
      <c r="AB67" s="8" t="s">
        <v>9</v>
      </c>
      <c r="AC67" s="8">
        <v>0</v>
      </c>
      <c r="AD67" s="8">
        <v>0</v>
      </c>
      <c r="AE67" s="8" t="s">
        <v>9</v>
      </c>
      <c r="AF67" s="8">
        <v>0</v>
      </c>
      <c r="AG67" s="8">
        <v>0</v>
      </c>
      <c r="AH67" s="8">
        <v>0</v>
      </c>
      <c r="AI67" s="56">
        <f t="shared" si="15"/>
        <v>0</v>
      </c>
      <c r="AJ67" s="153"/>
    </row>
    <row r="68" spans="1:36" x14ac:dyDescent="0.25">
      <c r="A68" s="106" t="s">
        <v>73</v>
      </c>
      <c r="B68" s="124" t="s">
        <v>18</v>
      </c>
      <c r="C68" s="49" t="s">
        <v>48</v>
      </c>
      <c r="D68" s="7">
        <v>13</v>
      </c>
      <c r="E68" s="7">
        <v>16</v>
      </c>
      <c r="F68" s="7">
        <v>4</v>
      </c>
      <c r="G68" s="7">
        <v>11</v>
      </c>
      <c r="H68" s="7">
        <v>7</v>
      </c>
      <c r="I68" s="7">
        <v>2</v>
      </c>
      <c r="J68" s="7" t="s">
        <v>9</v>
      </c>
      <c r="K68" s="7">
        <v>6</v>
      </c>
      <c r="L68" s="7">
        <v>9</v>
      </c>
      <c r="M68" s="7">
        <v>2</v>
      </c>
      <c r="N68" s="7">
        <v>3</v>
      </c>
      <c r="O68" s="7">
        <v>1</v>
      </c>
      <c r="P68" s="7">
        <v>0</v>
      </c>
      <c r="Q68" s="20" t="s">
        <v>9</v>
      </c>
      <c r="R68" s="7">
        <v>8</v>
      </c>
      <c r="S68" s="7">
        <v>0</v>
      </c>
      <c r="T68" s="7">
        <v>0</v>
      </c>
      <c r="U68" s="7">
        <v>1</v>
      </c>
      <c r="V68" s="7">
        <v>3</v>
      </c>
      <c r="W68" s="7">
        <v>0</v>
      </c>
      <c r="X68" s="7" t="s">
        <v>9</v>
      </c>
      <c r="Y68" s="7">
        <v>4</v>
      </c>
      <c r="Z68" s="7">
        <v>18</v>
      </c>
      <c r="AA68" s="7">
        <v>5</v>
      </c>
      <c r="AB68" s="7" t="s">
        <v>9</v>
      </c>
      <c r="AC68" s="7">
        <v>10</v>
      </c>
      <c r="AD68" s="7">
        <v>26</v>
      </c>
      <c r="AE68" s="7" t="s">
        <v>9</v>
      </c>
      <c r="AF68" s="7" t="s">
        <v>10</v>
      </c>
      <c r="AG68" s="7" t="s">
        <v>10</v>
      </c>
      <c r="AH68" s="7" t="s">
        <v>10</v>
      </c>
      <c r="AI68" s="45">
        <f t="shared" ref="AI68:AI73" si="17">SUM(D68:AH68)</f>
        <v>149</v>
      </c>
      <c r="AJ68" s="154">
        <f t="shared" ref="AJ68" si="18">SUM(AI68:AI73)</f>
        <v>210</v>
      </c>
    </row>
    <row r="69" spans="1:36" x14ac:dyDescent="0.25">
      <c r="A69" s="72"/>
      <c r="B69" s="125"/>
      <c r="C69" s="50" t="s">
        <v>50</v>
      </c>
      <c r="D69" s="14">
        <v>0</v>
      </c>
      <c r="E69" s="14">
        <v>1</v>
      </c>
      <c r="F69" s="14">
        <v>0</v>
      </c>
      <c r="G69" s="14">
        <v>0</v>
      </c>
      <c r="H69" s="14">
        <v>0</v>
      </c>
      <c r="I69" s="14">
        <v>0</v>
      </c>
      <c r="J69" s="14" t="s">
        <v>9</v>
      </c>
      <c r="K69" s="14">
        <v>1</v>
      </c>
      <c r="L69" s="14">
        <v>0</v>
      </c>
      <c r="M69" s="14">
        <v>0</v>
      </c>
      <c r="N69" s="14">
        <v>1</v>
      </c>
      <c r="O69" s="14">
        <v>0</v>
      </c>
      <c r="P69" s="14">
        <v>1</v>
      </c>
      <c r="Q69" s="22" t="s">
        <v>9</v>
      </c>
      <c r="R69" s="14">
        <v>2</v>
      </c>
      <c r="S69" s="14">
        <v>0</v>
      </c>
      <c r="T69" s="14">
        <v>1</v>
      </c>
      <c r="U69" s="14">
        <v>1</v>
      </c>
      <c r="V69" s="14">
        <v>0</v>
      </c>
      <c r="W69" s="14">
        <v>0</v>
      </c>
      <c r="X69" s="14" t="s">
        <v>9</v>
      </c>
      <c r="Y69" s="14">
        <v>0</v>
      </c>
      <c r="Z69" s="14">
        <v>0</v>
      </c>
      <c r="AA69" s="14">
        <v>0</v>
      </c>
      <c r="AB69" s="14" t="s">
        <v>9</v>
      </c>
      <c r="AC69" s="14">
        <v>0</v>
      </c>
      <c r="AD69" s="14">
        <v>0</v>
      </c>
      <c r="AE69" s="14" t="s">
        <v>9</v>
      </c>
      <c r="AF69" s="14" t="s">
        <v>10</v>
      </c>
      <c r="AG69" s="14" t="s">
        <v>10</v>
      </c>
      <c r="AH69" s="14" t="s">
        <v>10</v>
      </c>
      <c r="AI69" s="44">
        <f t="shared" si="17"/>
        <v>8</v>
      </c>
      <c r="AJ69" s="151"/>
    </row>
    <row r="70" spans="1:36" x14ac:dyDescent="0.25">
      <c r="A70" s="72"/>
      <c r="B70" s="125"/>
      <c r="C70" s="50" t="s">
        <v>49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 t="s">
        <v>9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22" t="s">
        <v>9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 t="s">
        <v>9</v>
      </c>
      <c r="Y70" s="14">
        <v>0</v>
      </c>
      <c r="Z70" s="14">
        <v>0</v>
      </c>
      <c r="AA70" s="14">
        <v>0</v>
      </c>
      <c r="AB70" s="14" t="s">
        <v>9</v>
      </c>
      <c r="AC70" s="14">
        <v>0</v>
      </c>
      <c r="AD70" s="14">
        <v>0</v>
      </c>
      <c r="AE70" s="14" t="s">
        <v>9</v>
      </c>
      <c r="AF70" s="14" t="s">
        <v>10</v>
      </c>
      <c r="AG70" s="14" t="s">
        <v>10</v>
      </c>
      <c r="AH70" s="14" t="s">
        <v>10</v>
      </c>
      <c r="AI70" s="44">
        <f t="shared" si="17"/>
        <v>0</v>
      </c>
      <c r="AJ70" s="151"/>
    </row>
    <row r="71" spans="1:36" x14ac:dyDescent="0.25">
      <c r="A71" s="72"/>
      <c r="B71" s="126"/>
      <c r="C71" s="50" t="s">
        <v>51</v>
      </c>
      <c r="D71" s="14">
        <v>0</v>
      </c>
      <c r="E71" s="14">
        <v>1</v>
      </c>
      <c r="F71" s="14">
        <v>0</v>
      </c>
      <c r="G71" s="14">
        <v>1</v>
      </c>
      <c r="H71" s="14">
        <v>0</v>
      </c>
      <c r="I71" s="14">
        <v>0</v>
      </c>
      <c r="J71" s="14" t="s">
        <v>9</v>
      </c>
      <c r="K71" s="14">
        <v>0</v>
      </c>
      <c r="L71" s="14">
        <v>2</v>
      </c>
      <c r="M71" s="14">
        <v>0</v>
      </c>
      <c r="N71" s="14">
        <v>1</v>
      </c>
      <c r="O71" s="14">
        <v>0</v>
      </c>
      <c r="P71" s="14">
        <v>0</v>
      </c>
      <c r="Q71" s="22" t="s">
        <v>9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 t="s">
        <v>9</v>
      </c>
      <c r="Y71" s="14">
        <v>0</v>
      </c>
      <c r="Z71" s="14">
        <v>0</v>
      </c>
      <c r="AA71" s="14">
        <v>0</v>
      </c>
      <c r="AB71" s="14" t="s">
        <v>9</v>
      </c>
      <c r="AC71" s="14">
        <v>0</v>
      </c>
      <c r="AD71" s="14">
        <v>0</v>
      </c>
      <c r="AE71" s="14" t="s">
        <v>9</v>
      </c>
      <c r="AF71" s="14" t="s">
        <v>10</v>
      </c>
      <c r="AG71" s="14" t="s">
        <v>10</v>
      </c>
      <c r="AH71" s="14" t="s">
        <v>10</v>
      </c>
      <c r="AI71" s="44">
        <f t="shared" si="17"/>
        <v>5</v>
      </c>
      <c r="AJ71" s="151"/>
    </row>
    <row r="72" spans="1:36" x14ac:dyDescent="0.25">
      <c r="A72" s="72"/>
      <c r="B72" s="127" t="s">
        <v>45</v>
      </c>
      <c r="C72" s="51" t="s">
        <v>46</v>
      </c>
      <c r="D72" s="3">
        <v>1</v>
      </c>
      <c r="E72" s="3">
        <v>3</v>
      </c>
      <c r="F72" s="3">
        <v>6</v>
      </c>
      <c r="G72" s="3">
        <v>6</v>
      </c>
      <c r="H72" s="3">
        <v>4</v>
      </c>
      <c r="I72" s="3">
        <v>0</v>
      </c>
      <c r="J72" s="3" t="s">
        <v>9</v>
      </c>
      <c r="K72" s="3">
        <v>1</v>
      </c>
      <c r="L72" s="3">
        <v>1</v>
      </c>
      <c r="M72" s="3">
        <v>1</v>
      </c>
      <c r="N72" s="3">
        <v>0</v>
      </c>
      <c r="O72" s="3">
        <v>3</v>
      </c>
      <c r="P72" s="3">
        <v>0</v>
      </c>
      <c r="Q72" s="17" t="s">
        <v>9</v>
      </c>
      <c r="R72" s="3">
        <v>0</v>
      </c>
      <c r="S72" s="3">
        <v>2</v>
      </c>
      <c r="T72" s="3">
        <v>1</v>
      </c>
      <c r="U72" s="3">
        <v>2</v>
      </c>
      <c r="V72" s="3">
        <v>3</v>
      </c>
      <c r="W72" s="3">
        <v>0</v>
      </c>
      <c r="X72" s="3" t="s">
        <v>9</v>
      </c>
      <c r="Y72" s="3">
        <v>2</v>
      </c>
      <c r="Z72" s="3">
        <v>1</v>
      </c>
      <c r="AA72" s="3">
        <v>3</v>
      </c>
      <c r="AB72" s="3" t="s">
        <v>9</v>
      </c>
      <c r="AC72" s="3">
        <v>3</v>
      </c>
      <c r="AD72" s="3">
        <v>4</v>
      </c>
      <c r="AE72" s="3" t="s">
        <v>9</v>
      </c>
      <c r="AF72" s="3" t="s">
        <v>10</v>
      </c>
      <c r="AG72" s="3" t="s">
        <v>10</v>
      </c>
      <c r="AH72" s="3" t="s">
        <v>10</v>
      </c>
      <c r="AI72" s="44">
        <f t="shared" si="17"/>
        <v>47</v>
      </c>
      <c r="AJ72" s="152"/>
    </row>
    <row r="73" spans="1:36" ht="13.5" thickBot="1" x14ac:dyDescent="0.3">
      <c r="A73" s="157"/>
      <c r="B73" s="125"/>
      <c r="C73" s="53" t="s">
        <v>47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 t="s">
        <v>9</v>
      </c>
      <c r="K73" s="13">
        <v>0</v>
      </c>
      <c r="L73" s="13">
        <v>1</v>
      </c>
      <c r="M73" s="13">
        <v>0</v>
      </c>
      <c r="N73" s="13">
        <v>0</v>
      </c>
      <c r="O73" s="13">
        <v>0</v>
      </c>
      <c r="P73" s="13">
        <v>0</v>
      </c>
      <c r="Q73" s="18" t="s">
        <v>9</v>
      </c>
      <c r="R73" s="8">
        <v>0</v>
      </c>
      <c r="S73" s="8">
        <v>0</v>
      </c>
      <c r="T73" s="13">
        <v>0</v>
      </c>
      <c r="U73" s="13">
        <v>0</v>
      </c>
      <c r="V73" s="13">
        <v>0</v>
      </c>
      <c r="W73" s="8">
        <v>0</v>
      </c>
      <c r="X73" s="8" t="s">
        <v>9</v>
      </c>
      <c r="Y73" s="13">
        <v>0</v>
      </c>
      <c r="Z73" s="13">
        <v>0</v>
      </c>
      <c r="AA73" s="13">
        <v>0</v>
      </c>
      <c r="AB73" s="13" t="s">
        <v>9</v>
      </c>
      <c r="AC73" s="13">
        <v>0</v>
      </c>
      <c r="AD73" s="13">
        <v>0</v>
      </c>
      <c r="AE73" s="13" t="s">
        <v>9</v>
      </c>
      <c r="AF73" s="13" t="s">
        <v>10</v>
      </c>
      <c r="AG73" s="13" t="s">
        <v>10</v>
      </c>
      <c r="AH73" s="13" t="s">
        <v>10</v>
      </c>
      <c r="AI73" s="65">
        <f t="shared" si="17"/>
        <v>1</v>
      </c>
      <c r="AJ73" s="155"/>
    </row>
    <row r="74" spans="1:36" x14ac:dyDescent="0.25">
      <c r="A74" s="89" t="s">
        <v>36</v>
      </c>
      <c r="B74" s="136" t="s">
        <v>18</v>
      </c>
      <c r="C74" s="49" t="s">
        <v>48</v>
      </c>
      <c r="D74" s="7">
        <v>7</v>
      </c>
      <c r="E74" s="7">
        <v>10</v>
      </c>
      <c r="F74" s="7">
        <v>0</v>
      </c>
      <c r="G74" s="7">
        <v>1</v>
      </c>
      <c r="H74" s="7">
        <v>0</v>
      </c>
      <c r="I74" s="7">
        <v>2</v>
      </c>
      <c r="J74" s="7" t="s">
        <v>9</v>
      </c>
      <c r="K74" s="7" t="s">
        <v>10</v>
      </c>
      <c r="L74" s="7" t="s">
        <v>10</v>
      </c>
      <c r="M74" s="7" t="s">
        <v>10</v>
      </c>
      <c r="N74" s="7" t="s">
        <v>10</v>
      </c>
      <c r="O74" s="7" t="s">
        <v>10</v>
      </c>
      <c r="P74" s="7" t="s">
        <v>10</v>
      </c>
      <c r="Q74" s="7" t="s">
        <v>10</v>
      </c>
      <c r="R74" s="7" t="s">
        <v>10</v>
      </c>
      <c r="S74" s="7" t="s">
        <v>10</v>
      </c>
      <c r="T74" s="7" t="s">
        <v>10</v>
      </c>
      <c r="U74" s="7" t="s">
        <v>10</v>
      </c>
      <c r="V74" s="7" t="s">
        <v>10</v>
      </c>
      <c r="W74" s="7" t="s">
        <v>10</v>
      </c>
      <c r="X74" s="7" t="s">
        <v>10</v>
      </c>
      <c r="Y74" s="7" t="s">
        <v>10</v>
      </c>
      <c r="Z74" s="7" t="s">
        <v>10</v>
      </c>
      <c r="AA74" s="7">
        <v>0</v>
      </c>
      <c r="AB74" s="7">
        <v>0</v>
      </c>
      <c r="AC74" s="7">
        <v>1</v>
      </c>
      <c r="AD74" s="7" t="s">
        <v>9</v>
      </c>
      <c r="AE74" s="7" t="s">
        <v>9</v>
      </c>
      <c r="AF74" s="7" t="s">
        <v>55</v>
      </c>
      <c r="AG74" s="7">
        <v>0</v>
      </c>
      <c r="AH74" s="7">
        <v>1</v>
      </c>
      <c r="AI74" s="54">
        <f t="shared" ref="AI74:AI79" si="19">SUM(D74:AH74)</f>
        <v>22</v>
      </c>
      <c r="AJ74" s="154">
        <f>SUM(AI74:AI79)</f>
        <v>201</v>
      </c>
    </row>
    <row r="75" spans="1:36" x14ac:dyDescent="0.25">
      <c r="A75" s="121"/>
      <c r="B75" s="137"/>
      <c r="C75" s="50" t="s">
        <v>50</v>
      </c>
      <c r="D75" s="14">
        <v>0</v>
      </c>
      <c r="E75" s="14">
        <v>2</v>
      </c>
      <c r="F75" s="14">
        <v>2</v>
      </c>
      <c r="G75" s="14">
        <v>1</v>
      </c>
      <c r="H75" s="14">
        <v>1</v>
      </c>
      <c r="I75" s="14">
        <v>0</v>
      </c>
      <c r="J75" s="14" t="s">
        <v>9</v>
      </c>
      <c r="K75" s="14" t="s">
        <v>10</v>
      </c>
      <c r="L75" s="14" t="s">
        <v>10</v>
      </c>
      <c r="M75" s="14" t="s">
        <v>10</v>
      </c>
      <c r="N75" s="14" t="s">
        <v>10</v>
      </c>
      <c r="O75" s="14" t="s">
        <v>10</v>
      </c>
      <c r="P75" s="14" t="s">
        <v>10</v>
      </c>
      <c r="Q75" s="14" t="s">
        <v>10</v>
      </c>
      <c r="R75" s="14" t="s">
        <v>10</v>
      </c>
      <c r="S75" s="14" t="s">
        <v>10</v>
      </c>
      <c r="T75" s="14" t="s">
        <v>10</v>
      </c>
      <c r="U75" s="14" t="s">
        <v>10</v>
      </c>
      <c r="V75" s="14" t="s">
        <v>10</v>
      </c>
      <c r="W75" s="14" t="s">
        <v>10</v>
      </c>
      <c r="X75" s="14" t="s">
        <v>10</v>
      </c>
      <c r="Y75" s="14" t="s">
        <v>10</v>
      </c>
      <c r="Z75" s="14" t="s">
        <v>10</v>
      </c>
      <c r="AA75" s="14">
        <v>0</v>
      </c>
      <c r="AB75" s="14">
        <v>0</v>
      </c>
      <c r="AC75" s="14">
        <v>0</v>
      </c>
      <c r="AD75" s="14" t="s">
        <v>9</v>
      </c>
      <c r="AE75" s="14" t="s">
        <v>9</v>
      </c>
      <c r="AF75" s="14" t="s">
        <v>55</v>
      </c>
      <c r="AG75" s="14">
        <v>0</v>
      </c>
      <c r="AH75" s="14">
        <v>0</v>
      </c>
      <c r="AI75" s="55">
        <f t="shared" si="19"/>
        <v>6</v>
      </c>
      <c r="AJ75" s="151"/>
    </row>
    <row r="76" spans="1:36" x14ac:dyDescent="0.25">
      <c r="A76" s="121"/>
      <c r="B76" s="137"/>
      <c r="C76" s="50" t="s">
        <v>49</v>
      </c>
      <c r="D76" s="14">
        <v>3</v>
      </c>
      <c r="E76" s="14">
        <v>11</v>
      </c>
      <c r="F76" s="14">
        <v>11</v>
      </c>
      <c r="G76" s="14">
        <v>16</v>
      </c>
      <c r="H76" s="14">
        <v>4</v>
      </c>
      <c r="I76" s="14">
        <v>9</v>
      </c>
      <c r="J76" s="14" t="s">
        <v>9</v>
      </c>
      <c r="K76" s="14" t="s">
        <v>10</v>
      </c>
      <c r="L76" s="14" t="s">
        <v>10</v>
      </c>
      <c r="M76" s="14" t="s">
        <v>10</v>
      </c>
      <c r="N76" s="14" t="s">
        <v>10</v>
      </c>
      <c r="O76" s="14" t="s">
        <v>10</v>
      </c>
      <c r="P76" s="14" t="s">
        <v>10</v>
      </c>
      <c r="Q76" s="14" t="s">
        <v>10</v>
      </c>
      <c r="R76" s="14" t="s">
        <v>10</v>
      </c>
      <c r="S76" s="14" t="s">
        <v>10</v>
      </c>
      <c r="T76" s="14" t="s">
        <v>10</v>
      </c>
      <c r="U76" s="14" t="s">
        <v>10</v>
      </c>
      <c r="V76" s="14" t="s">
        <v>10</v>
      </c>
      <c r="W76" s="14" t="s">
        <v>10</v>
      </c>
      <c r="X76" s="14" t="s">
        <v>10</v>
      </c>
      <c r="Y76" s="14" t="s">
        <v>10</v>
      </c>
      <c r="Z76" s="14" t="s">
        <v>10</v>
      </c>
      <c r="AA76" s="14">
        <v>5</v>
      </c>
      <c r="AB76" s="14">
        <v>9</v>
      </c>
      <c r="AC76" s="14">
        <v>3</v>
      </c>
      <c r="AD76" s="14" t="s">
        <v>9</v>
      </c>
      <c r="AE76" s="14" t="s">
        <v>9</v>
      </c>
      <c r="AF76" s="14" t="s">
        <v>55</v>
      </c>
      <c r="AG76" s="14">
        <v>0</v>
      </c>
      <c r="AH76" s="14">
        <v>14</v>
      </c>
      <c r="AI76" s="55">
        <f t="shared" si="19"/>
        <v>85</v>
      </c>
      <c r="AJ76" s="151"/>
    </row>
    <row r="77" spans="1:36" x14ac:dyDescent="0.25">
      <c r="A77" s="121"/>
      <c r="B77" s="138"/>
      <c r="C77" s="50" t="s">
        <v>51</v>
      </c>
      <c r="D77" s="14">
        <v>7</v>
      </c>
      <c r="E77" s="14">
        <v>6</v>
      </c>
      <c r="F77" s="14">
        <v>4</v>
      </c>
      <c r="G77" s="14">
        <v>6</v>
      </c>
      <c r="H77" s="14">
        <v>4</v>
      </c>
      <c r="I77" s="14">
        <v>1</v>
      </c>
      <c r="J77" s="14" t="s">
        <v>9</v>
      </c>
      <c r="K77" s="14" t="s">
        <v>10</v>
      </c>
      <c r="L77" s="14" t="s">
        <v>10</v>
      </c>
      <c r="M77" s="14" t="s">
        <v>10</v>
      </c>
      <c r="N77" s="14" t="s">
        <v>10</v>
      </c>
      <c r="O77" s="14" t="s">
        <v>10</v>
      </c>
      <c r="P77" s="14" t="s">
        <v>10</v>
      </c>
      <c r="Q77" s="14" t="s">
        <v>10</v>
      </c>
      <c r="R77" s="14" t="s">
        <v>10</v>
      </c>
      <c r="S77" s="14" t="s">
        <v>10</v>
      </c>
      <c r="T77" s="14" t="s">
        <v>10</v>
      </c>
      <c r="U77" s="14" t="s">
        <v>10</v>
      </c>
      <c r="V77" s="14" t="s">
        <v>10</v>
      </c>
      <c r="W77" s="14" t="s">
        <v>10</v>
      </c>
      <c r="X77" s="14" t="s">
        <v>10</v>
      </c>
      <c r="Y77" s="14" t="s">
        <v>10</v>
      </c>
      <c r="Z77" s="14" t="s">
        <v>10</v>
      </c>
      <c r="AA77" s="14">
        <v>2</v>
      </c>
      <c r="AB77" s="14">
        <v>0</v>
      </c>
      <c r="AC77" s="14">
        <v>1</v>
      </c>
      <c r="AD77" s="14" t="s">
        <v>9</v>
      </c>
      <c r="AE77" s="14" t="s">
        <v>9</v>
      </c>
      <c r="AF77" s="14" t="s">
        <v>55</v>
      </c>
      <c r="AG77" s="14">
        <v>1</v>
      </c>
      <c r="AH77" s="14">
        <v>0</v>
      </c>
      <c r="AI77" s="55">
        <f t="shared" si="19"/>
        <v>32</v>
      </c>
      <c r="AJ77" s="151"/>
    </row>
    <row r="78" spans="1:36" x14ac:dyDescent="0.25">
      <c r="A78" s="90"/>
      <c r="B78" s="139" t="s">
        <v>45</v>
      </c>
      <c r="C78" s="51" t="s">
        <v>46</v>
      </c>
      <c r="D78" s="3">
        <v>12</v>
      </c>
      <c r="E78" s="3">
        <v>12</v>
      </c>
      <c r="F78" s="3">
        <v>0</v>
      </c>
      <c r="G78" s="3">
        <v>9</v>
      </c>
      <c r="H78" s="3">
        <v>5</v>
      </c>
      <c r="I78" s="3">
        <v>4</v>
      </c>
      <c r="J78" s="3" t="s">
        <v>9</v>
      </c>
      <c r="K78" s="3" t="s">
        <v>10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>
        <v>5</v>
      </c>
      <c r="AB78" s="3">
        <v>0</v>
      </c>
      <c r="AC78" s="3">
        <v>4</v>
      </c>
      <c r="AD78" s="3" t="s">
        <v>9</v>
      </c>
      <c r="AE78" s="3" t="s">
        <v>9</v>
      </c>
      <c r="AF78" s="3" t="s">
        <v>55</v>
      </c>
      <c r="AG78" s="3">
        <v>1</v>
      </c>
      <c r="AH78" s="3">
        <v>1</v>
      </c>
      <c r="AI78" s="55">
        <f t="shared" si="19"/>
        <v>53</v>
      </c>
      <c r="AJ78" s="152"/>
    </row>
    <row r="79" spans="1:36" ht="14.25" customHeight="1" thickBot="1" x14ac:dyDescent="0.3">
      <c r="A79" s="91"/>
      <c r="B79" s="140"/>
      <c r="C79" s="52" t="s">
        <v>47</v>
      </c>
      <c r="D79" s="8">
        <v>1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 t="s">
        <v>9</v>
      </c>
      <c r="K79" s="8" t="s">
        <v>10</v>
      </c>
      <c r="L79" s="8" t="s">
        <v>10</v>
      </c>
      <c r="M79" s="8" t="s">
        <v>10</v>
      </c>
      <c r="N79" s="8" t="s">
        <v>10</v>
      </c>
      <c r="O79" s="8" t="s">
        <v>10</v>
      </c>
      <c r="P79" s="8" t="s">
        <v>10</v>
      </c>
      <c r="Q79" s="8" t="s">
        <v>10</v>
      </c>
      <c r="R79" s="8" t="s">
        <v>10</v>
      </c>
      <c r="S79" s="8" t="s">
        <v>10</v>
      </c>
      <c r="T79" s="8" t="s">
        <v>10</v>
      </c>
      <c r="U79" s="8" t="s">
        <v>10</v>
      </c>
      <c r="V79" s="8" t="s">
        <v>10</v>
      </c>
      <c r="W79" s="8" t="s">
        <v>10</v>
      </c>
      <c r="X79" s="8" t="s">
        <v>10</v>
      </c>
      <c r="Y79" s="8" t="s">
        <v>10</v>
      </c>
      <c r="Z79" s="8" t="s">
        <v>10</v>
      </c>
      <c r="AA79" s="8">
        <v>0</v>
      </c>
      <c r="AB79" s="8">
        <v>0</v>
      </c>
      <c r="AC79" s="8">
        <v>1</v>
      </c>
      <c r="AD79" s="8" t="s">
        <v>9</v>
      </c>
      <c r="AE79" s="8" t="s">
        <v>9</v>
      </c>
      <c r="AF79" s="8" t="s">
        <v>55</v>
      </c>
      <c r="AG79" s="8">
        <v>1</v>
      </c>
      <c r="AH79" s="8">
        <v>0</v>
      </c>
      <c r="AI79" s="56">
        <f t="shared" si="19"/>
        <v>3</v>
      </c>
      <c r="AJ79" s="153"/>
    </row>
    <row r="80" spans="1:36" x14ac:dyDescent="0.25">
      <c r="A80" s="89" t="s">
        <v>34</v>
      </c>
      <c r="B80" s="124" t="s">
        <v>18</v>
      </c>
      <c r="C80" s="49" t="s">
        <v>48</v>
      </c>
      <c r="D80" s="7">
        <v>14</v>
      </c>
      <c r="E80" s="7">
        <v>9</v>
      </c>
      <c r="F80" s="7" t="s">
        <v>29</v>
      </c>
      <c r="G80" s="7" t="s">
        <v>29</v>
      </c>
      <c r="H80" s="7" t="s">
        <v>29</v>
      </c>
      <c r="I80" s="7" t="s">
        <v>29</v>
      </c>
      <c r="J80" s="7" t="s">
        <v>29</v>
      </c>
      <c r="K80" s="7" t="s">
        <v>29</v>
      </c>
      <c r="L80" s="7" t="s">
        <v>29</v>
      </c>
      <c r="M80" s="7" t="s">
        <v>29</v>
      </c>
      <c r="N80" s="7" t="s">
        <v>29</v>
      </c>
      <c r="O80" s="7" t="s">
        <v>29</v>
      </c>
      <c r="P80" s="7" t="s">
        <v>29</v>
      </c>
      <c r="Q80" s="7" t="s">
        <v>29</v>
      </c>
      <c r="R80" s="7" t="s">
        <v>29</v>
      </c>
      <c r="S80" s="7" t="s">
        <v>29</v>
      </c>
      <c r="T80" s="7" t="s">
        <v>29</v>
      </c>
      <c r="U80" s="7" t="s">
        <v>29</v>
      </c>
      <c r="V80" s="7" t="s">
        <v>29</v>
      </c>
      <c r="W80" s="7" t="s">
        <v>29</v>
      </c>
      <c r="X80" s="7" t="s">
        <v>29</v>
      </c>
      <c r="Y80" s="7" t="s">
        <v>29</v>
      </c>
      <c r="Z80" s="7" t="s">
        <v>29</v>
      </c>
      <c r="AA80" s="7" t="s">
        <v>29</v>
      </c>
      <c r="AB80" s="7" t="s">
        <v>29</v>
      </c>
      <c r="AC80" s="7" t="s">
        <v>29</v>
      </c>
      <c r="AD80" s="7" t="s">
        <v>29</v>
      </c>
      <c r="AE80" s="7" t="s">
        <v>29</v>
      </c>
      <c r="AF80" s="7" t="s">
        <v>29</v>
      </c>
      <c r="AG80" s="7" t="s">
        <v>29</v>
      </c>
      <c r="AH80" s="7" t="s">
        <v>29</v>
      </c>
      <c r="AI80" s="54">
        <f t="shared" ref="AI80:AI85" si="20">SUM(D80:AH80)</f>
        <v>23</v>
      </c>
      <c r="AJ80" s="154">
        <f t="shared" ref="AJ80" si="21">SUM(AI80:AI85)</f>
        <v>41</v>
      </c>
    </row>
    <row r="81" spans="1:36" x14ac:dyDescent="0.25">
      <c r="A81" s="121"/>
      <c r="B81" s="125"/>
      <c r="C81" s="50" t="s">
        <v>50</v>
      </c>
      <c r="D81" s="14">
        <v>4</v>
      </c>
      <c r="E81" s="14">
        <v>0</v>
      </c>
      <c r="F81" s="14" t="s">
        <v>29</v>
      </c>
      <c r="G81" s="14" t="s">
        <v>29</v>
      </c>
      <c r="H81" s="14" t="s">
        <v>29</v>
      </c>
      <c r="I81" s="14" t="s">
        <v>29</v>
      </c>
      <c r="J81" s="14" t="s">
        <v>29</v>
      </c>
      <c r="K81" s="14" t="s">
        <v>29</v>
      </c>
      <c r="L81" s="14" t="s">
        <v>29</v>
      </c>
      <c r="M81" s="14" t="s">
        <v>29</v>
      </c>
      <c r="N81" s="14" t="s">
        <v>29</v>
      </c>
      <c r="O81" s="14" t="s">
        <v>29</v>
      </c>
      <c r="P81" s="14" t="s">
        <v>29</v>
      </c>
      <c r="Q81" s="14" t="s">
        <v>29</v>
      </c>
      <c r="R81" s="14" t="s">
        <v>29</v>
      </c>
      <c r="S81" s="14" t="s">
        <v>29</v>
      </c>
      <c r="T81" s="14" t="s">
        <v>29</v>
      </c>
      <c r="U81" s="14" t="s">
        <v>29</v>
      </c>
      <c r="V81" s="14" t="s">
        <v>29</v>
      </c>
      <c r="W81" s="14" t="s">
        <v>29</v>
      </c>
      <c r="X81" s="14" t="s">
        <v>29</v>
      </c>
      <c r="Y81" s="14" t="s">
        <v>29</v>
      </c>
      <c r="Z81" s="14" t="s">
        <v>29</v>
      </c>
      <c r="AA81" s="14" t="s">
        <v>29</v>
      </c>
      <c r="AB81" s="14" t="s">
        <v>29</v>
      </c>
      <c r="AC81" s="14" t="s">
        <v>29</v>
      </c>
      <c r="AD81" s="14" t="s">
        <v>29</v>
      </c>
      <c r="AE81" s="14" t="s">
        <v>29</v>
      </c>
      <c r="AF81" s="14" t="s">
        <v>29</v>
      </c>
      <c r="AG81" s="14" t="s">
        <v>29</v>
      </c>
      <c r="AH81" s="14" t="s">
        <v>29</v>
      </c>
      <c r="AI81" s="55">
        <f t="shared" si="20"/>
        <v>4</v>
      </c>
      <c r="AJ81" s="151"/>
    </row>
    <row r="82" spans="1:36" x14ac:dyDescent="0.25">
      <c r="A82" s="121"/>
      <c r="B82" s="125"/>
      <c r="C82" s="50" t="s">
        <v>49</v>
      </c>
      <c r="D82" s="14">
        <v>0</v>
      </c>
      <c r="E82" s="14">
        <v>0</v>
      </c>
      <c r="F82" s="14" t="s">
        <v>29</v>
      </c>
      <c r="G82" s="14" t="s">
        <v>29</v>
      </c>
      <c r="H82" s="14" t="s">
        <v>29</v>
      </c>
      <c r="I82" s="14" t="s">
        <v>29</v>
      </c>
      <c r="J82" s="14" t="s">
        <v>29</v>
      </c>
      <c r="K82" s="14" t="s">
        <v>29</v>
      </c>
      <c r="L82" s="14" t="s">
        <v>29</v>
      </c>
      <c r="M82" s="14" t="s">
        <v>29</v>
      </c>
      <c r="N82" s="14" t="s">
        <v>29</v>
      </c>
      <c r="O82" s="14" t="s">
        <v>29</v>
      </c>
      <c r="P82" s="14" t="s">
        <v>29</v>
      </c>
      <c r="Q82" s="14" t="s">
        <v>29</v>
      </c>
      <c r="R82" s="14" t="s">
        <v>29</v>
      </c>
      <c r="S82" s="14" t="s">
        <v>29</v>
      </c>
      <c r="T82" s="14" t="s">
        <v>29</v>
      </c>
      <c r="U82" s="14" t="s">
        <v>29</v>
      </c>
      <c r="V82" s="14" t="s">
        <v>29</v>
      </c>
      <c r="W82" s="14" t="s">
        <v>29</v>
      </c>
      <c r="X82" s="14" t="s">
        <v>29</v>
      </c>
      <c r="Y82" s="14" t="s">
        <v>29</v>
      </c>
      <c r="Z82" s="14" t="s">
        <v>29</v>
      </c>
      <c r="AA82" s="14" t="s">
        <v>29</v>
      </c>
      <c r="AB82" s="14" t="s">
        <v>29</v>
      </c>
      <c r="AC82" s="14" t="s">
        <v>29</v>
      </c>
      <c r="AD82" s="14" t="s">
        <v>29</v>
      </c>
      <c r="AE82" s="14" t="s">
        <v>29</v>
      </c>
      <c r="AF82" s="14" t="s">
        <v>29</v>
      </c>
      <c r="AG82" s="14" t="s">
        <v>29</v>
      </c>
      <c r="AH82" s="14" t="s">
        <v>29</v>
      </c>
      <c r="AI82" s="55">
        <f t="shared" si="20"/>
        <v>0</v>
      </c>
      <c r="AJ82" s="151"/>
    </row>
    <row r="83" spans="1:36" x14ac:dyDescent="0.25">
      <c r="A83" s="121"/>
      <c r="B83" s="126"/>
      <c r="C83" s="50" t="s">
        <v>51</v>
      </c>
      <c r="D83" s="14">
        <v>3</v>
      </c>
      <c r="E83" s="14">
        <v>1</v>
      </c>
      <c r="F83" s="14" t="s">
        <v>29</v>
      </c>
      <c r="G83" s="14" t="s">
        <v>29</v>
      </c>
      <c r="H83" s="14" t="s">
        <v>29</v>
      </c>
      <c r="I83" s="14" t="s">
        <v>29</v>
      </c>
      <c r="J83" s="14" t="s">
        <v>29</v>
      </c>
      <c r="K83" s="3" t="s">
        <v>29</v>
      </c>
      <c r="L83" s="14" t="s">
        <v>29</v>
      </c>
      <c r="M83" s="14" t="s">
        <v>29</v>
      </c>
      <c r="N83" s="14" t="s">
        <v>29</v>
      </c>
      <c r="O83" s="14" t="s">
        <v>29</v>
      </c>
      <c r="P83" s="14" t="s">
        <v>29</v>
      </c>
      <c r="Q83" s="14" t="s">
        <v>29</v>
      </c>
      <c r="R83" s="14" t="s">
        <v>29</v>
      </c>
      <c r="S83" s="14" t="s">
        <v>29</v>
      </c>
      <c r="T83" s="14" t="s">
        <v>29</v>
      </c>
      <c r="U83" s="14" t="s">
        <v>29</v>
      </c>
      <c r="V83" s="14" t="s">
        <v>29</v>
      </c>
      <c r="W83" s="14" t="s">
        <v>29</v>
      </c>
      <c r="X83" s="14" t="s">
        <v>29</v>
      </c>
      <c r="Y83" s="14" t="s">
        <v>29</v>
      </c>
      <c r="Z83" s="14" t="s">
        <v>29</v>
      </c>
      <c r="AA83" s="14" t="s">
        <v>29</v>
      </c>
      <c r="AB83" s="14" t="s">
        <v>29</v>
      </c>
      <c r="AC83" s="14" t="s">
        <v>29</v>
      </c>
      <c r="AD83" s="14" t="s">
        <v>29</v>
      </c>
      <c r="AE83" s="14" t="s">
        <v>29</v>
      </c>
      <c r="AF83" s="14" t="s">
        <v>29</v>
      </c>
      <c r="AG83" s="14" t="s">
        <v>29</v>
      </c>
      <c r="AH83" s="14" t="s">
        <v>29</v>
      </c>
      <c r="AI83" s="55">
        <f t="shared" si="20"/>
        <v>4</v>
      </c>
      <c r="AJ83" s="151"/>
    </row>
    <row r="84" spans="1:36" x14ac:dyDescent="0.25">
      <c r="A84" s="90"/>
      <c r="B84" s="127" t="s">
        <v>45</v>
      </c>
      <c r="C84" s="51" t="s">
        <v>46</v>
      </c>
      <c r="D84" s="3">
        <v>9</v>
      </c>
      <c r="E84" s="3">
        <v>1</v>
      </c>
      <c r="F84" s="3" t="s">
        <v>29</v>
      </c>
      <c r="G84" s="3" t="s">
        <v>29</v>
      </c>
      <c r="H84" s="3" t="s">
        <v>29</v>
      </c>
      <c r="I84" s="3" t="s">
        <v>29</v>
      </c>
      <c r="J84" s="3" t="s">
        <v>29</v>
      </c>
      <c r="K84" s="2" t="s">
        <v>29</v>
      </c>
      <c r="L84" s="3" t="s">
        <v>29</v>
      </c>
      <c r="M84" s="3" t="s">
        <v>29</v>
      </c>
      <c r="N84" s="3" t="s">
        <v>29</v>
      </c>
      <c r="O84" s="3" t="s">
        <v>29</v>
      </c>
      <c r="P84" s="3" t="s">
        <v>29</v>
      </c>
      <c r="Q84" s="3" t="s">
        <v>29</v>
      </c>
      <c r="R84" s="3" t="s">
        <v>29</v>
      </c>
      <c r="S84" s="3" t="s">
        <v>29</v>
      </c>
      <c r="T84" s="3" t="s">
        <v>29</v>
      </c>
      <c r="U84" s="3" t="s">
        <v>29</v>
      </c>
      <c r="V84" s="3" t="s">
        <v>29</v>
      </c>
      <c r="W84" s="3" t="s">
        <v>29</v>
      </c>
      <c r="X84" s="3" t="s">
        <v>29</v>
      </c>
      <c r="Y84" s="3" t="s">
        <v>29</v>
      </c>
      <c r="Z84" s="3" t="s">
        <v>29</v>
      </c>
      <c r="AA84" s="3" t="s">
        <v>29</v>
      </c>
      <c r="AB84" s="3" t="s">
        <v>29</v>
      </c>
      <c r="AC84" s="3" t="s">
        <v>29</v>
      </c>
      <c r="AD84" s="3" t="s">
        <v>29</v>
      </c>
      <c r="AE84" s="3" t="s">
        <v>29</v>
      </c>
      <c r="AF84" s="3" t="s">
        <v>29</v>
      </c>
      <c r="AG84" s="3" t="s">
        <v>29</v>
      </c>
      <c r="AH84" s="3" t="s">
        <v>29</v>
      </c>
      <c r="AI84" s="55">
        <f t="shared" si="20"/>
        <v>10</v>
      </c>
      <c r="AJ84" s="152"/>
    </row>
    <row r="85" spans="1:36" ht="13.5" thickBot="1" x14ac:dyDescent="0.3">
      <c r="A85" s="91"/>
      <c r="B85" s="128"/>
      <c r="C85" s="52" t="s">
        <v>47</v>
      </c>
      <c r="D85" s="8">
        <v>0</v>
      </c>
      <c r="E85" s="8">
        <v>0</v>
      </c>
      <c r="F85" s="8" t="s">
        <v>29</v>
      </c>
      <c r="G85" s="8" t="s">
        <v>29</v>
      </c>
      <c r="H85" s="8" t="s">
        <v>29</v>
      </c>
      <c r="I85" s="8" t="s">
        <v>29</v>
      </c>
      <c r="J85" s="8" t="s">
        <v>29</v>
      </c>
      <c r="K85" s="8" t="s">
        <v>29</v>
      </c>
      <c r="L85" s="8" t="s">
        <v>29</v>
      </c>
      <c r="M85" s="8" t="s">
        <v>29</v>
      </c>
      <c r="N85" s="8" t="s">
        <v>29</v>
      </c>
      <c r="O85" s="8" t="s">
        <v>29</v>
      </c>
      <c r="P85" s="8" t="s">
        <v>29</v>
      </c>
      <c r="Q85" s="8" t="s">
        <v>29</v>
      </c>
      <c r="R85" s="8" t="s">
        <v>29</v>
      </c>
      <c r="S85" s="8" t="s">
        <v>29</v>
      </c>
      <c r="T85" s="8" t="s">
        <v>29</v>
      </c>
      <c r="U85" s="8" t="s">
        <v>29</v>
      </c>
      <c r="V85" s="8" t="s">
        <v>29</v>
      </c>
      <c r="W85" s="8" t="s">
        <v>29</v>
      </c>
      <c r="X85" s="8" t="s">
        <v>29</v>
      </c>
      <c r="Y85" s="8" t="s">
        <v>29</v>
      </c>
      <c r="Z85" s="8" t="s">
        <v>29</v>
      </c>
      <c r="AA85" s="8" t="s">
        <v>29</v>
      </c>
      <c r="AB85" s="8" t="s">
        <v>29</v>
      </c>
      <c r="AC85" s="8" t="s">
        <v>29</v>
      </c>
      <c r="AD85" s="8" t="s">
        <v>29</v>
      </c>
      <c r="AE85" s="8" t="s">
        <v>29</v>
      </c>
      <c r="AF85" s="8" t="s">
        <v>29</v>
      </c>
      <c r="AG85" s="8" t="s">
        <v>29</v>
      </c>
      <c r="AH85" s="8" t="s">
        <v>29</v>
      </c>
      <c r="AI85" s="56">
        <f t="shared" si="20"/>
        <v>0</v>
      </c>
      <c r="AJ85" s="153"/>
    </row>
    <row r="86" spans="1:36" ht="13.5" thickBot="1" x14ac:dyDescent="0.3">
      <c r="A86" s="110" t="s">
        <v>1</v>
      </c>
      <c r="B86" s="141"/>
      <c r="C86" s="111"/>
      <c r="D86" s="9">
        <f t="shared" ref="D86:AI86" si="22">SUM(D20:D85)</f>
        <v>243</v>
      </c>
      <c r="E86" s="9">
        <f t="shared" si="22"/>
        <v>431</v>
      </c>
      <c r="F86" s="9">
        <f t="shared" si="22"/>
        <v>235</v>
      </c>
      <c r="G86" s="9">
        <f t="shared" si="22"/>
        <v>233</v>
      </c>
      <c r="H86" s="9">
        <f t="shared" si="22"/>
        <v>295</v>
      </c>
      <c r="I86" s="9">
        <f t="shared" si="22"/>
        <v>79</v>
      </c>
      <c r="J86" s="9">
        <f t="shared" si="22"/>
        <v>0</v>
      </c>
      <c r="K86" s="9">
        <f t="shared" si="22"/>
        <v>151</v>
      </c>
      <c r="L86" s="9">
        <f t="shared" si="22"/>
        <v>219</v>
      </c>
      <c r="M86" s="9">
        <f t="shared" si="22"/>
        <v>165</v>
      </c>
      <c r="N86" s="9">
        <f t="shared" si="22"/>
        <v>149</v>
      </c>
      <c r="O86" s="9">
        <f t="shared" si="22"/>
        <v>178</v>
      </c>
      <c r="P86" s="9">
        <f t="shared" si="22"/>
        <v>44</v>
      </c>
      <c r="Q86" s="9">
        <f t="shared" si="22"/>
        <v>24</v>
      </c>
      <c r="R86" s="9">
        <f t="shared" si="22"/>
        <v>169</v>
      </c>
      <c r="S86" s="9">
        <f t="shared" si="22"/>
        <v>140</v>
      </c>
      <c r="T86" s="9">
        <f t="shared" si="22"/>
        <v>209</v>
      </c>
      <c r="U86" s="9">
        <f t="shared" si="22"/>
        <v>190</v>
      </c>
      <c r="V86" s="9">
        <f t="shared" si="22"/>
        <v>135</v>
      </c>
      <c r="W86" s="9">
        <f t="shared" si="22"/>
        <v>74</v>
      </c>
      <c r="X86" s="9">
        <f t="shared" si="22"/>
        <v>44</v>
      </c>
      <c r="Y86" s="9">
        <f t="shared" si="22"/>
        <v>162</v>
      </c>
      <c r="Z86" s="9">
        <f t="shared" si="22"/>
        <v>347</v>
      </c>
      <c r="AA86" s="9">
        <f t="shared" si="22"/>
        <v>203</v>
      </c>
      <c r="AB86" s="9">
        <f t="shared" si="22"/>
        <v>9</v>
      </c>
      <c r="AC86" s="9">
        <f t="shared" si="22"/>
        <v>326</v>
      </c>
      <c r="AD86" s="9">
        <f t="shared" si="22"/>
        <v>150</v>
      </c>
      <c r="AE86" s="9">
        <f t="shared" si="22"/>
        <v>0</v>
      </c>
      <c r="AF86" s="9">
        <f t="shared" si="22"/>
        <v>186</v>
      </c>
      <c r="AG86" s="9">
        <f t="shared" si="22"/>
        <v>346</v>
      </c>
      <c r="AH86" s="9">
        <f t="shared" si="22"/>
        <v>454</v>
      </c>
      <c r="AI86" s="9">
        <f t="shared" si="22"/>
        <v>5590</v>
      </c>
      <c r="AJ86" s="33">
        <f>SUM(AJ20:AJ85)</f>
        <v>5590</v>
      </c>
    </row>
    <row r="88" spans="1:36" x14ac:dyDescent="0.25">
      <c r="A88" s="5"/>
      <c r="B88" s="5"/>
      <c r="C88" s="5"/>
      <c r="D88" s="1" t="s">
        <v>10</v>
      </c>
      <c r="E88" s="109" t="s">
        <v>11</v>
      </c>
      <c r="F88" s="109"/>
      <c r="G88" s="6"/>
      <c r="H88" s="1" t="s">
        <v>9</v>
      </c>
      <c r="I88" s="109" t="s">
        <v>12</v>
      </c>
      <c r="J88" s="109"/>
      <c r="K88" s="6"/>
      <c r="L88" s="1" t="s">
        <v>13</v>
      </c>
      <c r="M88" s="109" t="s">
        <v>14</v>
      </c>
      <c r="N88" s="109"/>
      <c r="O88" s="109"/>
      <c r="P88" s="109"/>
      <c r="Q88" s="109"/>
      <c r="R88" s="6"/>
      <c r="S88" s="1" t="s">
        <v>15</v>
      </c>
      <c r="T88" s="109" t="s">
        <v>16</v>
      </c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</row>
    <row r="89" spans="1:36" x14ac:dyDescent="0.25">
      <c r="H89" s="1" t="s">
        <v>55</v>
      </c>
      <c r="I89" s="109" t="s">
        <v>56</v>
      </c>
      <c r="J89" s="109"/>
    </row>
    <row r="91" spans="1:36" x14ac:dyDescent="0.25">
      <c r="O91" s="2"/>
    </row>
    <row r="92" spans="1:36" x14ac:dyDescent="0.25">
      <c r="O92" s="2"/>
    </row>
    <row r="93" spans="1:36" x14ac:dyDescent="0.25">
      <c r="O93" s="2"/>
    </row>
    <row r="94" spans="1:36" x14ac:dyDescent="0.25">
      <c r="O94" s="2"/>
    </row>
    <row r="95" spans="1:36" x14ac:dyDescent="0.25">
      <c r="O95" s="2"/>
    </row>
    <row r="96" spans="1:36" x14ac:dyDescent="0.25">
      <c r="O96" s="2"/>
    </row>
  </sheetData>
  <mergeCells count="82">
    <mergeCell ref="I89:J89"/>
    <mergeCell ref="E88:F88"/>
    <mergeCell ref="I88:J88"/>
    <mergeCell ref="A26:A31"/>
    <mergeCell ref="B26:B29"/>
    <mergeCell ref="A68:A73"/>
    <mergeCell ref="A50:A55"/>
    <mergeCell ref="B50:B53"/>
    <mergeCell ref="A74:A79"/>
    <mergeCell ref="B74:B77"/>
    <mergeCell ref="A44:A49"/>
    <mergeCell ref="B44:B47"/>
    <mergeCell ref="AJ26:AJ31"/>
    <mergeCell ref="B30:B31"/>
    <mergeCell ref="M88:Q88"/>
    <mergeCell ref="T88:AJ88"/>
    <mergeCell ref="AJ80:AJ85"/>
    <mergeCell ref="B84:B85"/>
    <mergeCell ref="B68:B71"/>
    <mergeCell ref="AJ68:AJ73"/>
    <mergeCell ref="B72:B73"/>
    <mergeCell ref="A86:C86"/>
    <mergeCell ref="A80:A85"/>
    <mergeCell ref="B80:B83"/>
    <mergeCell ref="A62:A67"/>
    <mergeCell ref="B62:B65"/>
    <mergeCell ref="AJ62:AJ67"/>
    <mergeCell ref="B66:B67"/>
    <mergeCell ref="AJ50:AJ55"/>
    <mergeCell ref="B54:B55"/>
    <mergeCell ref="A56:A61"/>
    <mergeCell ref="B56:B59"/>
    <mergeCell ref="AJ56:AJ61"/>
    <mergeCell ref="B60:B61"/>
    <mergeCell ref="AI15:AJ15"/>
    <mergeCell ref="A17:AJ17"/>
    <mergeCell ref="AJ74:AJ79"/>
    <mergeCell ref="B78:B79"/>
    <mergeCell ref="A20:A25"/>
    <mergeCell ref="B20:B23"/>
    <mergeCell ref="AJ20:AJ25"/>
    <mergeCell ref="B24:B25"/>
    <mergeCell ref="A38:A43"/>
    <mergeCell ref="B38:B41"/>
    <mergeCell ref="AJ38:AJ43"/>
    <mergeCell ref="B42:B43"/>
    <mergeCell ref="A32:A37"/>
    <mergeCell ref="B32:B35"/>
    <mergeCell ref="AJ32:AJ37"/>
    <mergeCell ref="B36:B37"/>
    <mergeCell ref="AI9:AJ9"/>
    <mergeCell ref="A10:C10"/>
    <mergeCell ref="AJ44:AJ49"/>
    <mergeCell ref="B48:B49"/>
    <mergeCell ref="AI10:AJ10"/>
    <mergeCell ref="A12:C12"/>
    <mergeCell ref="AI12:AJ12"/>
    <mergeCell ref="A18:A19"/>
    <mergeCell ref="B18:C19"/>
    <mergeCell ref="AI18:AI19"/>
    <mergeCell ref="AJ18:AJ19"/>
    <mergeCell ref="A13:C13"/>
    <mergeCell ref="AI13:AJ13"/>
    <mergeCell ref="A11:C11"/>
    <mergeCell ref="AI11:AJ11"/>
    <mergeCell ref="A15:C15"/>
    <mergeCell ref="A14:C14"/>
    <mergeCell ref="AI14:AJ14"/>
    <mergeCell ref="A1:AJ1"/>
    <mergeCell ref="A2:C3"/>
    <mergeCell ref="AI2:AJ3"/>
    <mergeCell ref="A8:C8"/>
    <mergeCell ref="AI8:AJ8"/>
    <mergeCell ref="A4:C4"/>
    <mergeCell ref="AI4:AJ4"/>
    <mergeCell ref="A6:C6"/>
    <mergeCell ref="AI6:AJ6"/>
    <mergeCell ref="A7:C7"/>
    <mergeCell ref="AI7:AJ7"/>
    <mergeCell ref="A5:C5"/>
    <mergeCell ref="AI5:AJ5"/>
    <mergeCell ref="A9:C9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C0A4-B374-4BAF-96E9-DB40E8340AA0}">
  <dimension ref="A1:AP89"/>
  <sheetViews>
    <sheetView tabSelected="1" zoomScaleNormal="100" workbookViewId="0">
      <selection activeCell="D15" sqref="D15"/>
    </sheetView>
  </sheetViews>
  <sheetFormatPr defaultColWidth="9.140625" defaultRowHeight="12.75" x14ac:dyDescent="0.25"/>
  <cols>
    <col min="1" max="1" width="10.28515625" style="2" customWidth="1"/>
    <col min="2" max="2" width="13.85546875" style="2" customWidth="1"/>
    <col min="3" max="3" width="27.5703125" style="2" customWidth="1"/>
    <col min="4" max="4" width="3.28515625" style="2" bestFit="1" customWidth="1"/>
    <col min="5" max="5" width="4" style="2" bestFit="1" customWidth="1"/>
    <col min="6" max="6" width="5" style="2" bestFit="1" customWidth="1"/>
    <col min="7" max="7" width="3.28515625" style="2" bestFit="1" customWidth="1"/>
    <col min="8" max="8" width="4.5703125" style="2" customWidth="1"/>
    <col min="9" max="9" width="4.7109375" style="2" customWidth="1"/>
    <col min="10" max="10" width="4" style="2" customWidth="1"/>
    <col min="11" max="13" width="4" style="2" bestFit="1" customWidth="1"/>
    <col min="14" max="14" width="4" style="2" customWidth="1"/>
    <col min="15" max="15" width="4" style="19" bestFit="1" customWidth="1"/>
    <col min="16" max="16" width="3.85546875" style="2" customWidth="1"/>
    <col min="17" max="17" width="4" style="2" customWidth="1"/>
    <col min="18" max="18" width="4.140625" style="2" bestFit="1" customWidth="1"/>
    <col min="19" max="20" width="4" style="2" bestFit="1" customWidth="1"/>
    <col min="21" max="21" width="3.28515625" style="2" bestFit="1" customWidth="1"/>
    <col min="22" max="22" width="4" style="2" bestFit="1" customWidth="1"/>
    <col min="23" max="23" width="5" style="2" bestFit="1" customWidth="1"/>
    <col min="24" max="25" width="4.140625" style="2" bestFit="1" customWidth="1"/>
    <col min="26" max="29" width="5" style="2" bestFit="1" customWidth="1"/>
    <col min="30" max="30" width="3.7109375" style="2" customWidth="1"/>
    <col min="31" max="31" width="5" style="2" customWidth="1"/>
    <col min="32" max="32" width="5" style="2" bestFit="1" customWidth="1"/>
    <col min="33" max="35" width="5" style="2" customWidth="1"/>
    <col min="36" max="36" width="6.140625" style="2" customWidth="1"/>
    <col min="37" max="37" width="7.85546875" style="2" customWidth="1"/>
    <col min="38" max="16384" width="9.140625" style="2"/>
  </cols>
  <sheetData>
    <row r="1" spans="1:42" ht="22.5" customHeight="1" thickBot="1" x14ac:dyDescent="0.3">
      <c r="A1" s="76" t="s">
        <v>87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42" ht="59.25" customHeight="1" x14ac:dyDescent="0.25">
      <c r="A2" s="77" t="s">
        <v>0</v>
      </c>
      <c r="B2" s="112"/>
      <c r="C2" s="78"/>
      <c r="D2" s="11">
        <v>46023</v>
      </c>
      <c r="E2" s="11">
        <v>46024</v>
      </c>
      <c r="F2" s="11">
        <v>46025</v>
      </c>
      <c r="G2" s="11">
        <v>46026</v>
      </c>
      <c r="H2" s="11">
        <v>46027</v>
      </c>
      <c r="I2" s="11">
        <v>46028</v>
      </c>
      <c r="J2" s="11">
        <v>46029</v>
      </c>
      <c r="K2" s="11">
        <v>46030</v>
      </c>
      <c r="L2" s="11">
        <v>46031</v>
      </c>
      <c r="M2" s="11">
        <v>46032</v>
      </c>
      <c r="N2" s="11">
        <v>46033</v>
      </c>
      <c r="O2" s="11">
        <v>46034</v>
      </c>
      <c r="P2" s="11">
        <v>46035</v>
      </c>
      <c r="Q2" s="11">
        <v>46036</v>
      </c>
      <c r="R2" s="11">
        <v>46037</v>
      </c>
      <c r="S2" s="11">
        <v>46038</v>
      </c>
      <c r="T2" s="11">
        <v>46039</v>
      </c>
      <c r="U2" s="11">
        <v>46040</v>
      </c>
      <c r="V2" s="11">
        <v>46041</v>
      </c>
      <c r="W2" s="11">
        <v>46042</v>
      </c>
      <c r="X2" s="11">
        <v>46043</v>
      </c>
      <c r="Y2" s="11">
        <v>46044</v>
      </c>
      <c r="Z2" s="11">
        <v>46045</v>
      </c>
      <c r="AA2" s="11">
        <v>46046</v>
      </c>
      <c r="AB2" s="11">
        <v>46047</v>
      </c>
      <c r="AC2" s="11">
        <v>46048</v>
      </c>
      <c r="AD2" s="11">
        <v>46049</v>
      </c>
      <c r="AE2" s="11">
        <v>46050</v>
      </c>
      <c r="AF2" s="11">
        <v>46051</v>
      </c>
      <c r="AG2" s="11">
        <v>46052</v>
      </c>
      <c r="AH2" s="11">
        <v>46053</v>
      </c>
      <c r="AI2" s="81" t="s">
        <v>1</v>
      </c>
      <c r="AJ2" s="82"/>
    </row>
    <row r="3" spans="1:42" ht="71.25" customHeight="1" x14ac:dyDescent="0.25">
      <c r="A3" s="79"/>
      <c r="B3" s="113"/>
      <c r="C3" s="80"/>
      <c r="D3" s="12" t="s">
        <v>6</v>
      </c>
      <c r="E3" s="12" t="s">
        <v>7</v>
      </c>
      <c r="F3" s="12" t="s">
        <v>8</v>
      </c>
      <c r="G3" s="12" t="s">
        <v>2</v>
      </c>
      <c r="H3" s="12" t="s">
        <v>3</v>
      </c>
      <c r="I3" s="12" t="s">
        <v>4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2</v>
      </c>
      <c r="O3" s="12" t="s">
        <v>3</v>
      </c>
      <c r="P3" s="12" t="s">
        <v>4</v>
      </c>
      <c r="Q3" s="12" t="s">
        <v>5</v>
      </c>
      <c r="R3" s="12" t="s">
        <v>6</v>
      </c>
      <c r="S3" s="12" t="s">
        <v>7</v>
      </c>
      <c r="T3" s="12" t="s">
        <v>8</v>
      </c>
      <c r="U3" s="12" t="s">
        <v>2</v>
      </c>
      <c r="V3" s="12" t="s">
        <v>3</v>
      </c>
      <c r="W3" s="12" t="s">
        <v>4</v>
      </c>
      <c r="X3" s="12" t="s">
        <v>5</v>
      </c>
      <c r="Y3" s="12" t="s">
        <v>6</v>
      </c>
      <c r="Z3" s="12" t="s">
        <v>7</v>
      </c>
      <c r="AA3" s="12" t="s">
        <v>8</v>
      </c>
      <c r="AB3" s="12" t="s">
        <v>2</v>
      </c>
      <c r="AC3" s="12" t="s">
        <v>3</v>
      </c>
      <c r="AD3" s="12" t="s">
        <v>4</v>
      </c>
      <c r="AE3" s="12" t="s">
        <v>5</v>
      </c>
      <c r="AF3" s="12" t="s">
        <v>6</v>
      </c>
      <c r="AG3" s="12" t="s">
        <v>7</v>
      </c>
      <c r="AH3" s="12" t="s">
        <v>8</v>
      </c>
      <c r="AI3" s="83"/>
      <c r="AJ3" s="84"/>
      <c r="AP3" s="2" t="s">
        <v>62</v>
      </c>
    </row>
    <row r="4" spans="1:42" x14ac:dyDescent="0.25">
      <c r="A4" s="72" t="s">
        <v>39</v>
      </c>
      <c r="B4" s="114"/>
      <c r="C4" s="73"/>
      <c r="D4" s="3" t="s">
        <v>9</v>
      </c>
      <c r="E4" s="3">
        <v>70</v>
      </c>
      <c r="F4" s="3" t="s">
        <v>9</v>
      </c>
      <c r="G4" s="3" t="s">
        <v>9</v>
      </c>
      <c r="H4" s="3">
        <v>288</v>
      </c>
      <c r="I4" s="14">
        <v>183</v>
      </c>
      <c r="J4" s="14">
        <v>135</v>
      </c>
      <c r="K4" s="3">
        <v>123</v>
      </c>
      <c r="L4" s="3" t="s">
        <v>9</v>
      </c>
      <c r="M4" s="3" t="s">
        <v>9</v>
      </c>
      <c r="N4" s="3" t="s">
        <v>9</v>
      </c>
      <c r="O4" s="17">
        <v>59</v>
      </c>
      <c r="P4" s="17">
        <v>77</v>
      </c>
      <c r="Q4" s="13">
        <v>104</v>
      </c>
      <c r="R4" s="3">
        <v>69</v>
      </c>
      <c r="S4" s="3">
        <v>54</v>
      </c>
      <c r="T4" s="3" t="s">
        <v>9</v>
      </c>
      <c r="U4" s="13" t="s">
        <v>9</v>
      </c>
      <c r="V4" s="13">
        <v>261</v>
      </c>
      <c r="W4" s="3">
        <v>217</v>
      </c>
      <c r="X4" s="3">
        <v>144</v>
      </c>
      <c r="Y4" s="3">
        <v>68</v>
      </c>
      <c r="Z4" s="3">
        <v>50</v>
      </c>
      <c r="AA4" s="3" t="s">
        <v>9</v>
      </c>
      <c r="AB4" s="3">
        <v>75</v>
      </c>
      <c r="AC4" s="3">
        <v>199</v>
      </c>
      <c r="AD4" s="3"/>
      <c r="AE4" s="3"/>
      <c r="AF4" s="3"/>
      <c r="AG4" s="3"/>
      <c r="AH4" s="3"/>
      <c r="AI4" s="74">
        <f t="shared" ref="AI4:AI12" si="0">SUM(D4:AH4)</f>
        <v>2176</v>
      </c>
      <c r="AJ4" s="75"/>
    </row>
    <row r="5" spans="1:42" ht="15" customHeight="1" x14ac:dyDescent="0.25">
      <c r="A5" s="72" t="s">
        <v>86</v>
      </c>
      <c r="B5" s="114"/>
      <c r="C5" s="73"/>
      <c r="D5" s="3" t="s">
        <v>9</v>
      </c>
      <c r="E5" s="3">
        <v>150</v>
      </c>
      <c r="F5" s="3">
        <v>104</v>
      </c>
      <c r="G5" s="3" t="s">
        <v>9</v>
      </c>
      <c r="H5" s="3">
        <v>140</v>
      </c>
      <c r="I5" s="3">
        <v>96</v>
      </c>
      <c r="J5" s="3">
        <v>135</v>
      </c>
      <c r="K5" s="3">
        <v>176</v>
      </c>
      <c r="L5" s="3">
        <v>108</v>
      </c>
      <c r="M5" s="3" t="s">
        <v>9</v>
      </c>
      <c r="N5" s="3" t="s">
        <v>9</v>
      </c>
      <c r="O5" s="3">
        <v>72</v>
      </c>
      <c r="P5" s="3">
        <v>84</v>
      </c>
      <c r="Q5" s="3">
        <v>62</v>
      </c>
      <c r="R5" s="3">
        <v>19</v>
      </c>
      <c r="S5" s="3">
        <v>60</v>
      </c>
      <c r="T5" s="3">
        <v>102</v>
      </c>
      <c r="U5" s="3" t="s">
        <v>9</v>
      </c>
      <c r="V5" s="3">
        <v>153</v>
      </c>
      <c r="W5" s="3">
        <v>141</v>
      </c>
      <c r="X5" s="3">
        <v>124</v>
      </c>
      <c r="Y5" s="3">
        <v>76</v>
      </c>
      <c r="Z5" s="3">
        <v>74</v>
      </c>
      <c r="AA5" s="3" t="s">
        <v>9</v>
      </c>
      <c r="AB5" s="3" t="s">
        <v>9</v>
      </c>
      <c r="AC5" s="3">
        <v>125</v>
      </c>
      <c r="AD5" s="13"/>
      <c r="AE5" s="13"/>
      <c r="AF5" s="13"/>
      <c r="AG5" s="13"/>
      <c r="AH5" s="13"/>
      <c r="AI5" s="74">
        <f>SUM(D5:AH5)</f>
        <v>2001</v>
      </c>
      <c r="AJ5" s="75"/>
    </row>
    <row r="6" spans="1:42" x14ac:dyDescent="0.25">
      <c r="A6" s="72" t="s">
        <v>32</v>
      </c>
      <c r="B6" s="114"/>
      <c r="C6" s="73"/>
      <c r="D6" s="3" t="s">
        <v>9</v>
      </c>
      <c r="E6" s="3">
        <v>118</v>
      </c>
      <c r="F6" s="3" t="s">
        <v>9</v>
      </c>
      <c r="G6" s="3" t="s">
        <v>9</v>
      </c>
      <c r="H6" s="3">
        <v>101</v>
      </c>
      <c r="I6" s="3">
        <v>96</v>
      </c>
      <c r="J6" s="3">
        <v>99</v>
      </c>
      <c r="K6" s="3">
        <v>109</v>
      </c>
      <c r="L6" s="3">
        <v>74</v>
      </c>
      <c r="M6" s="3">
        <v>48</v>
      </c>
      <c r="N6" s="3" t="s">
        <v>9</v>
      </c>
      <c r="O6" s="3">
        <v>74</v>
      </c>
      <c r="P6" s="3">
        <v>78</v>
      </c>
      <c r="Q6" s="3">
        <v>74</v>
      </c>
      <c r="R6" s="3">
        <v>69</v>
      </c>
      <c r="S6" s="3">
        <v>70</v>
      </c>
      <c r="T6" s="3" t="s">
        <v>9</v>
      </c>
      <c r="U6" s="3">
        <v>35</v>
      </c>
      <c r="V6" s="13" t="s">
        <v>9</v>
      </c>
      <c r="W6" s="3">
        <v>164</v>
      </c>
      <c r="X6" s="3">
        <v>111</v>
      </c>
      <c r="Y6" s="3">
        <v>41</v>
      </c>
      <c r="Z6" s="3">
        <v>17</v>
      </c>
      <c r="AA6" s="3">
        <v>28</v>
      </c>
      <c r="AB6" s="3" t="s">
        <v>9</v>
      </c>
      <c r="AC6" s="3">
        <v>219</v>
      </c>
      <c r="AD6" s="3"/>
      <c r="AE6" s="3"/>
      <c r="AF6" s="3"/>
      <c r="AG6" s="3"/>
      <c r="AH6" s="3"/>
      <c r="AI6" s="74">
        <f>SUM(D6:AH6)</f>
        <v>1625</v>
      </c>
      <c r="AJ6" s="75"/>
    </row>
    <row r="7" spans="1:42" x14ac:dyDescent="0.25">
      <c r="A7" s="72" t="s">
        <v>84</v>
      </c>
      <c r="B7" s="114"/>
      <c r="C7" s="73"/>
      <c r="D7" s="3" t="s">
        <v>9</v>
      </c>
      <c r="E7" s="3">
        <v>83</v>
      </c>
      <c r="F7" s="3" t="s">
        <v>9</v>
      </c>
      <c r="G7" s="3" t="s">
        <v>9</v>
      </c>
      <c r="H7" s="3">
        <v>122</v>
      </c>
      <c r="I7" s="14">
        <v>119</v>
      </c>
      <c r="J7" s="3">
        <v>116</v>
      </c>
      <c r="K7" s="3">
        <v>84</v>
      </c>
      <c r="L7" s="3">
        <v>95</v>
      </c>
      <c r="M7" s="3">
        <v>44</v>
      </c>
      <c r="N7" s="3" t="s">
        <v>9</v>
      </c>
      <c r="O7" s="17">
        <v>51</v>
      </c>
      <c r="P7" s="17">
        <v>50</v>
      </c>
      <c r="Q7" s="3">
        <v>62</v>
      </c>
      <c r="R7" s="3">
        <v>81</v>
      </c>
      <c r="S7" s="3">
        <v>54</v>
      </c>
      <c r="T7" s="13" t="s">
        <v>9</v>
      </c>
      <c r="U7" s="3" t="s">
        <v>9</v>
      </c>
      <c r="V7" s="13">
        <v>155</v>
      </c>
      <c r="W7" s="17">
        <v>147</v>
      </c>
      <c r="X7" s="3">
        <v>106</v>
      </c>
      <c r="Y7" s="3">
        <v>74</v>
      </c>
      <c r="Z7" s="3">
        <v>19</v>
      </c>
      <c r="AA7" s="3">
        <v>31</v>
      </c>
      <c r="AB7" s="3" t="s">
        <v>9</v>
      </c>
      <c r="AC7" s="13">
        <v>128</v>
      </c>
      <c r="AD7" s="13"/>
      <c r="AE7" s="13"/>
      <c r="AF7" s="13"/>
      <c r="AG7" s="13"/>
      <c r="AH7" s="3"/>
      <c r="AI7" s="74">
        <f>SUM(D7:AH7)</f>
        <v>1621</v>
      </c>
      <c r="AJ7" s="75"/>
    </row>
    <row r="8" spans="1:42" ht="13.5" customHeight="1" x14ac:dyDescent="0.25">
      <c r="A8" s="72" t="s">
        <v>35</v>
      </c>
      <c r="B8" s="114"/>
      <c r="C8" s="73"/>
      <c r="D8" s="3">
        <v>27</v>
      </c>
      <c r="E8" s="3">
        <v>52</v>
      </c>
      <c r="F8" s="3" t="s">
        <v>9</v>
      </c>
      <c r="G8" s="3" t="s">
        <v>9</v>
      </c>
      <c r="H8" s="3">
        <v>75</v>
      </c>
      <c r="I8" s="14">
        <v>79</v>
      </c>
      <c r="J8" s="3">
        <v>104</v>
      </c>
      <c r="K8" s="3">
        <v>70</v>
      </c>
      <c r="L8" s="3">
        <v>51</v>
      </c>
      <c r="M8" s="3" t="s">
        <v>9</v>
      </c>
      <c r="N8" s="3" t="s">
        <v>9</v>
      </c>
      <c r="O8" s="3">
        <v>80</v>
      </c>
      <c r="P8" s="3">
        <v>21</v>
      </c>
      <c r="Q8" s="3">
        <v>59</v>
      </c>
      <c r="R8" s="3">
        <v>47</v>
      </c>
      <c r="S8" s="3">
        <v>22</v>
      </c>
      <c r="T8" s="3" t="s">
        <v>9</v>
      </c>
      <c r="U8" s="3" t="s">
        <v>9</v>
      </c>
      <c r="V8" s="3">
        <v>137</v>
      </c>
      <c r="W8" s="3">
        <v>105</v>
      </c>
      <c r="X8" s="3">
        <v>81</v>
      </c>
      <c r="Y8" s="3">
        <v>21</v>
      </c>
      <c r="Z8" s="3">
        <v>20</v>
      </c>
      <c r="AA8" s="3" t="s">
        <v>9</v>
      </c>
      <c r="AB8" s="3" t="s">
        <v>9</v>
      </c>
      <c r="AC8" s="3">
        <v>122</v>
      </c>
      <c r="AD8" s="3"/>
      <c r="AE8" s="3"/>
      <c r="AF8" s="3"/>
      <c r="AG8" s="3"/>
      <c r="AH8" s="3"/>
      <c r="AI8" s="74">
        <f t="shared" si="0"/>
        <v>1173</v>
      </c>
      <c r="AJ8" s="75"/>
    </row>
    <row r="9" spans="1:42" x14ac:dyDescent="0.25">
      <c r="A9" s="72" t="s">
        <v>72</v>
      </c>
      <c r="B9" s="114"/>
      <c r="C9" s="73"/>
      <c r="D9" s="3" t="s">
        <v>9</v>
      </c>
      <c r="E9" s="3">
        <v>63</v>
      </c>
      <c r="F9" s="13">
        <v>39</v>
      </c>
      <c r="G9" s="3" t="s">
        <v>9</v>
      </c>
      <c r="H9" s="3">
        <v>13</v>
      </c>
      <c r="I9" s="3">
        <v>79</v>
      </c>
      <c r="J9" s="3">
        <v>96</v>
      </c>
      <c r="K9" s="3">
        <v>89</v>
      </c>
      <c r="L9" s="3">
        <v>48</v>
      </c>
      <c r="M9" s="3">
        <v>20</v>
      </c>
      <c r="N9" s="3" t="s">
        <v>9</v>
      </c>
      <c r="O9" s="17">
        <v>14</v>
      </c>
      <c r="P9" s="17">
        <v>8</v>
      </c>
      <c r="Q9" s="18">
        <v>8</v>
      </c>
      <c r="R9" s="3">
        <v>1</v>
      </c>
      <c r="S9" s="3">
        <v>0</v>
      </c>
      <c r="T9" s="13">
        <v>1</v>
      </c>
      <c r="U9" s="3" t="s">
        <v>9</v>
      </c>
      <c r="V9" s="13">
        <v>166</v>
      </c>
      <c r="W9" s="3">
        <v>142</v>
      </c>
      <c r="X9" s="3">
        <v>97</v>
      </c>
      <c r="Y9" s="3">
        <v>33</v>
      </c>
      <c r="Z9" s="3">
        <v>1</v>
      </c>
      <c r="AA9" s="3">
        <v>1</v>
      </c>
      <c r="AB9" s="3" t="s">
        <v>9</v>
      </c>
      <c r="AC9" s="13">
        <v>175</v>
      </c>
      <c r="AD9" s="13"/>
      <c r="AE9" s="13"/>
      <c r="AF9" s="13"/>
      <c r="AG9" s="13"/>
      <c r="AH9" s="3"/>
      <c r="AI9" s="74">
        <f>SUM(D9:AH9)</f>
        <v>1094</v>
      </c>
      <c r="AJ9" s="75"/>
    </row>
    <row r="10" spans="1:42" x14ac:dyDescent="0.25">
      <c r="A10" s="72" t="s">
        <v>38</v>
      </c>
      <c r="B10" s="114"/>
      <c r="C10" s="73"/>
      <c r="D10" s="3" t="s">
        <v>9</v>
      </c>
      <c r="E10" s="3">
        <v>82</v>
      </c>
      <c r="F10" s="3" t="s">
        <v>9</v>
      </c>
      <c r="G10" s="3" t="s">
        <v>9</v>
      </c>
      <c r="H10" s="3">
        <v>91</v>
      </c>
      <c r="I10" s="3">
        <v>97</v>
      </c>
      <c r="J10" s="3">
        <v>53</v>
      </c>
      <c r="K10" s="3">
        <v>55</v>
      </c>
      <c r="L10" s="3">
        <v>31</v>
      </c>
      <c r="M10" s="3">
        <v>7</v>
      </c>
      <c r="N10" s="3" t="s">
        <v>9</v>
      </c>
      <c r="O10" s="17" t="s">
        <v>30</v>
      </c>
      <c r="P10" s="17">
        <v>28</v>
      </c>
      <c r="Q10" s="18">
        <v>32</v>
      </c>
      <c r="R10" s="3" t="s">
        <v>9</v>
      </c>
      <c r="S10" s="3">
        <v>19</v>
      </c>
      <c r="T10" s="3" t="s">
        <v>9</v>
      </c>
      <c r="U10" s="3" t="s">
        <v>9</v>
      </c>
      <c r="V10" s="13">
        <v>79</v>
      </c>
      <c r="W10" s="3">
        <v>84</v>
      </c>
      <c r="X10" s="3">
        <v>35</v>
      </c>
      <c r="Y10" s="3">
        <v>60</v>
      </c>
      <c r="Z10" s="3">
        <v>48</v>
      </c>
      <c r="AA10" s="3">
        <v>27</v>
      </c>
      <c r="AB10" s="3" t="s">
        <v>9</v>
      </c>
      <c r="AC10" s="3">
        <v>46</v>
      </c>
      <c r="AD10" s="3"/>
      <c r="AE10" s="3"/>
      <c r="AF10" s="3"/>
      <c r="AG10" s="3"/>
      <c r="AH10" s="3"/>
      <c r="AI10" s="74">
        <f>SUM(D10:AH10)</f>
        <v>874</v>
      </c>
      <c r="AJ10" s="75"/>
    </row>
    <row r="11" spans="1:42" x14ac:dyDescent="0.25">
      <c r="A11" s="72" t="s">
        <v>33</v>
      </c>
      <c r="B11" s="114"/>
      <c r="C11" s="73"/>
      <c r="D11" s="3" t="s">
        <v>9</v>
      </c>
      <c r="E11" s="3">
        <v>7</v>
      </c>
      <c r="F11" s="3" t="s">
        <v>9</v>
      </c>
      <c r="G11" s="3" t="s">
        <v>9</v>
      </c>
      <c r="H11" s="3">
        <v>81</v>
      </c>
      <c r="I11" s="14">
        <v>64</v>
      </c>
      <c r="J11" s="3" t="s">
        <v>29</v>
      </c>
      <c r="K11" s="3" t="s">
        <v>29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29</v>
      </c>
      <c r="AB11" s="3" t="s">
        <v>29</v>
      </c>
      <c r="AC11" s="3" t="s">
        <v>29</v>
      </c>
      <c r="AD11" s="3" t="s">
        <v>29</v>
      </c>
      <c r="AE11" s="3" t="s">
        <v>29</v>
      </c>
      <c r="AF11" s="3" t="s">
        <v>29</v>
      </c>
      <c r="AG11" s="3" t="s">
        <v>29</v>
      </c>
      <c r="AH11" s="3" t="s">
        <v>29</v>
      </c>
      <c r="AI11" s="74">
        <f t="shared" si="0"/>
        <v>152</v>
      </c>
      <c r="AJ11" s="75"/>
    </row>
    <row r="12" spans="1:42" ht="12" customHeight="1" x14ac:dyDescent="0.25">
      <c r="A12" s="72" t="s">
        <v>36</v>
      </c>
      <c r="B12" s="114"/>
      <c r="C12" s="73"/>
      <c r="D12" s="3" t="s">
        <v>9</v>
      </c>
      <c r="E12" s="3">
        <v>60</v>
      </c>
      <c r="F12" s="13">
        <v>37</v>
      </c>
      <c r="G12" s="3" t="s">
        <v>9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29</v>
      </c>
      <c r="AB12" s="3" t="s">
        <v>29</v>
      </c>
      <c r="AC12" s="13" t="s">
        <v>29</v>
      </c>
      <c r="AD12" s="13" t="s">
        <v>29</v>
      </c>
      <c r="AE12" s="13" t="s">
        <v>29</v>
      </c>
      <c r="AF12" s="13" t="s">
        <v>29</v>
      </c>
      <c r="AG12" s="13" t="s">
        <v>29</v>
      </c>
      <c r="AH12" s="3" t="s">
        <v>29</v>
      </c>
      <c r="AI12" s="74">
        <f t="shared" si="0"/>
        <v>97</v>
      </c>
      <c r="AJ12" s="75"/>
    </row>
    <row r="13" spans="1:42" ht="15" customHeight="1" x14ac:dyDescent="0.25">
      <c r="A13" s="72" t="s">
        <v>73</v>
      </c>
      <c r="B13" s="114"/>
      <c r="C13" s="73"/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  <c r="K13" s="3" t="s">
        <v>10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13"/>
      <c r="AF13" s="13"/>
      <c r="AG13" s="13"/>
      <c r="AH13" s="13"/>
      <c r="AI13" s="74">
        <f t="shared" ref="AI13" si="1">SUM(D13:AH13)</f>
        <v>0</v>
      </c>
      <c r="AJ13" s="75"/>
    </row>
    <row r="14" spans="1:42" ht="13.5" thickBot="1" x14ac:dyDescent="0.3">
      <c r="A14" s="92" t="s">
        <v>1</v>
      </c>
      <c r="B14" s="115"/>
      <c r="C14" s="93"/>
      <c r="D14" s="10">
        <f>SUM(D4:D13)</f>
        <v>27</v>
      </c>
      <c r="E14" s="10">
        <f>SUM(E4:E13)</f>
        <v>685</v>
      </c>
      <c r="F14" s="10">
        <f>SUM(F4:F13)</f>
        <v>180</v>
      </c>
      <c r="G14" s="10">
        <f>SUM(G4:G13)</f>
        <v>0</v>
      </c>
      <c r="H14" s="10">
        <f>SUM(H4:H13)</f>
        <v>911</v>
      </c>
      <c r="I14" s="10">
        <f>SUM(I4:I13)</f>
        <v>813</v>
      </c>
      <c r="J14" s="10">
        <f>SUM(J4:J13)</f>
        <v>738</v>
      </c>
      <c r="K14" s="10">
        <f>SUM(K4:K13)</f>
        <v>706</v>
      </c>
      <c r="L14" s="10">
        <f>SUM(L4:L13)</f>
        <v>407</v>
      </c>
      <c r="M14" s="10">
        <f>SUM(M4:M13)</f>
        <v>119</v>
      </c>
      <c r="N14" s="10">
        <f>SUM(N4:N13)</f>
        <v>0</v>
      </c>
      <c r="O14" s="10">
        <f>SUM(O4:O13)</f>
        <v>350</v>
      </c>
      <c r="P14" s="10">
        <f>SUM(P4:P13)</f>
        <v>346</v>
      </c>
      <c r="Q14" s="10">
        <f>SUM(Q4:Q13)</f>
        <v>401</v>
      </c>
      <c r="R14" s="10">
        <f>SUM(R4:R13)</f>
        <v>286</v>
      </c>
      <c r="S14" s="10">
        <f>SUM(S4:S13)</f>
        <v>279</v>
      </c>
      <c r="T14" s="10">
        <f>SUM(T4:T13)</f>
        <v>103</v>
      </c>
      <c r="U14" s="10">
        <f>SUM(U4:U13)</f>
        <v>35</v>
      </c>
      <c r="V14" s="10">
        <f>SUM(V4:V13)</f>
        <v>951</v>
      </c>
      <c r="W14" s="10">
        <f>SUM(W4:W13)</f>
        <v>1000</v>
      </c>
      <c r="X14" s="10">
        <f>SUM(X4:X13)</f>
        <v>698</v>
      </c>
      <c r="Y14" s="10">
        <f>SUM(Y4:Y13)</f>
        <v>373</v>
      </c>
      <c r="Z14" s="10">
        <f>SUM(Z4:Z13)</f>
        <v>229</v>
      </c>
      <c r="AA14" s="10">
        <f>SUM(AA4:AA13)</f>
        <v>87</v>
      </c>
      <c r="AB14" s="10">
        <f>SUM(AB4:AB13)</f>
        <v>75</v>
      </c>
      <c r="AC14" s="10">
        <f>SUM(AC4:AC13)</f>
        <v>1014</v>
      </c>
      <c r="AD14" s="10">
        <f>SUM(AD4:AD13)</f>
        <v>0</v>
      </c>
      <c r="AE14" s="10">
        <f>SUM(AE4:AE13)</f>
        <v>0</v>
      </c>
      <c r="AF14" s="10">
        <f>SUM(AF4:AF13)</f>
        <v>0</v>
      </c>
      <c r="AG14" s="10">
        <f>SUM(AG4:AG13)</f>
        <v>0</v>
      </c>
      <c r="AH14" s="10">
        <f>SUM(AH4:AH13)</f>
        <v>0</v>
      </c>
      <c r="AI14" s="116">
        <f>SUM(D14:AH14)</f>
        <v>10813</v>
      </c>
      <c r="AJ14" s="117"/>
      <c r="AK14" s="4"/>
    </row>
    <row r="15" spans="1:42" ht="13.5" thickBot="1" x14ac:dyDescent="0.3"/>
    <row r="16" spans="1:42" ht="22.5" customHeight="1" thickBot="1" x14ac:dyDescent="0.3">
      <c r="A16" s="160" t="s">
        <v>88</v>
      </c>
      <c r="B16" s="161"/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2"/>
    </row>
    <row r="17" spans="1:36" ht="57" customHeight="1" thickBot="1" x14ac:dyDescent="0.3">
      <c r="A17" s="166" t="s">
        <v>0</v>
      </c>
      <c r="B17" s="168" t="s">
        <v>17</v>
      </c>
      <c r="C17" s="169"/>
      <c r="D17" s="70">
        <v>46023</v>
      </c>
      <c r="E17" s="11">
        <v>46024</v>
      </c>
      <c r="F17" s="11">
        <v>46025</v>
      </c>
      <c r="G17" s="11">
        <v>46026</v>
      </c>
      <c r="H17" s="11">
        <v>46027</v>
      </c>
      <c r="I17" s="11">
        <v>46028</v>
      </c>
      <c r="J17" s="11">
        <v>46029</v>
      </c>
      <c r="K17" s="11">
        <v>46030</v>
      </c>
      <c r="L17" s="11">
        <v>46031</v>
      </c>
      <c r="M17" s="11">
        <v>46032</v>
      </c>
      <c r="N17" s="11">
        <v>46033</v>
      </c>
      <c r="O17" s="11">
        <v>46034</v>
      </c>
      <c r="P17" s="11">
        <v>46035</v>
      </c>
      <c r="Q17" s="11">
        <v>46036</v>
      </c>
      <c r="R17" s="11">
        <v>46037</v>
      </c>
      <c r="S17" s="11">
        <v>46038</v>
      </c>
      <c r="T17" s="11">
        <v>46039</v>
      </c>
      <c r="U17" s="11">
        <v>46040</v>
      </c>
      <c r="V17" s="11">
        <v>46041</v>
      </c>
      <c r="W17" s="11">
        <v>46042</v>
      </c>
      <c r="X17" s="11">
        <v>46043</v>
      </c>
      <c r="Y17" s="11">
        <v>46044</v>
      </c>
      <c r="Z17" s="11">
        <v>46045</v>
      </c>
      <c r="AA17" s="11">
        <v>46046</v>
      </c>
      <c r="AB17" s="11">
        <v>46047</v>
      </c>
      <c r="AC17" s="11">
        <v>46048</v>
      </c>
      <c r="AD17" s="11">
        <v>46049</v>
      </c>
      <c r="AE17" s="11">
        <v>46050</v>
      </c>
      <c r="AF17" s="11">
        <v>46051</v>
      </c>
      <c r="AG17" s="11">
        <v>46052</v>
      </c>
      <c r="AH17" s="11">
        <v>46053</v>
      </c>
      <c r="AI17" s="101" t="s">
        <v>28</v>
      </c>
      <c r="AJ17" s="103" t="s">
        <v>27</v>
      </c>
    </row>
    <row r="18" spans="1:36" ht="63.75" thickBot="1" x14ac:dyDescent="0.3">
      <c r="A18" s="167"/>
      <c r="B18" s="170"/>
      <c r="C18" s="171"/>
      <c r="D18" s="71" t="s">
        <v>6</v>
      </c>
      <c r="E18" s="12" t="s">
        <v>7</v>
      </c>
      <c r="F18" s="12" t="s">
        <v>8</v>
      </c>
      <c r="G18" s="12" t="s">
        <v>2</v>
      </c>
      <c r="H18" s="12" t="s">
        <v>3</v>
      </c>
      <c r="I18" s="12" t="s">
        <v>4</v>
      </c>
      <c r="J18" s="12" t="s">
        <v>5</v>
      </c>
      <c r="K18" s="12" t="s">
        <v>6</v>
      </c>
      <c r="L18" s="12" t="s">
        <v>7</v>
      </c>
      <c r="M18" s="12" t="s">
        <v>8</v>
      </c>
      <c r="N18" s="12" t="s">
        <v>2</v>
      </c>
      <c r="O18" s="12" t="s">
        <v>3</v>
      </c>
      <c r="P18" s="12" t="s">
        <v>4</v>
      </c>
      <c r="Q18" s="12" t="s">
        <v>5</v>
      </c>
      <c r="R18" s="12" t="s">
        <v>6</v>
      </c>
      <c r="S18" s="12" t="s">
        <v>7</v>
      </c>
      <c r="T18" s="12" t="s">
        <v>8</v>
      </c>
      <c r="U18" s="12" t="s">
        <v>2</v>
      </c>
      <c r="V18" s="12" t="s">
        <v>3</v>
      </c>
      <c r="W18" s="12" t="s">
        <v>4</v>
      </c>
      <c r="X18" s="12" t="s">
        <v>5</v>
      </c>
      <c r="Y18" s="12" t="s">
        <v>6</v>
      </c>
      <c r="Z18" s="12" t="s">
        <v>7</v>
      </c>
      <c r="AA18" s="12" t="s">
        <v>8</v>
      </c>
      <c r="AB18" s="12" t="s">
        <v>2</v>
      </c>
      <c r="AC18" s="12" t="s">
        <v>3</v>
      </c>
      <c r="AD18" s="12" t="s">
        <v>4</v>
      </c>
      <c r="AE18" s="12" t="s">
        <v>5</v>
      </c>
      <c r="AF18" s="12" t="s">
        <v>6</v>
      </c>
      <c r="AG18" s="12" t="s">
        <v>7</v>
      </c>
      <c r="AH18" s="12" t="s">
        <v>8</v>
      </c>
      <c r="AI18" s="102"/>
      <c r="AJ18" s="104"/>
    </row>
    <row r="19" spans="1:36" ht="12.75" customHeight="1" x14ac:dyDescent="0.25">
      <c r="A19" s="129" t="s">
        <v>35</v>
      </c>
      <c r="B19" s="124" t="s">
        <v>18</v>
      </c>
      <c r="C19" s="49" t="s">
        <v>48</v>
      </c>
      <c r="D19" s="7">
        <v>23</v>
      </c>
      <c r="E19" s="7">
        <v>7</v>
      </c>
      <c r="F19" s="7" t="s">
        <v>9</v>
      </c>
      <c r="G19" s="7" t="s">
        <v>9</v>
      </c>
      <c r="H19" s="7">
        <v>2</v>
      </c>
      <c r="I19" s="7">
        <v>13</v>
      </c>
      <c r="J19" s="7">
        <f>17+13</f>
        <v>30</v>
      </c>
      <c r="K19" s="7">
        <v>5</v>
      </c>
      <c r="L19" s="7">
        <v>1</v>
      </c>
      <c r="M19" s="7" t="s">
        <v>9</v>
      </c>
      <c r="N19" s="7" t="s">
        <v>9</v>
      </c>
      <c r="O19" s="7">
        <v>19</v>
      </c>
      <c r="P19" s="7">
        <v>2</v>
      </c>
      <c r="Q19" s="7">
        <v>2</v>
      </c>
      <c r="R19" s="7">
        <v>6</v>
      </c>
      <c r="S19" s="7">
        <v>8</v>
      </c>
      <c r="T19" s="7" t="s">
        <v>9</v>
      </c>
      <c r="U19" s="7" t="s">
        <v>9</v>
      </c>
      <c r="V19" s="7">
        <v>3</v>
      </c>
      <c r="W19" s="7">
        <v>3</v>
      </c>
      <c r="X19" s="7">
        <v>32</v>
      </c>
      <c r="Y19" s="7">
        <v>8</v>
      </c>
      <c r="Z19" s="7">
        <v>0</v>
      </c>
      <c r="AA19" s="7" t="s">
        <v>9</v>
      </c>
      <c r="AB19" s="7" t="s">
        <v>9</v>
      </c>
      <c r="AC19" s="7">
        <v>10</v>
      </c>
      <c r="AD19" s="7"/>
      <c r="AE19" s="7"/>
      <c r="AF19" s="7"/>
      <c r="AG19" s="7"/>
      <c r="AH19" s="7"/>
      <c r="AI19" s="54">
        <f t="shared" ref="AI19:AI54" si="2">SUM(D19:AH19)</f>
        <v>174</v>
      </c>
      <c r="AJ19" s="154">
        <f>SUM(AI19:AI24)</f>
        <v>819</v>
      </c>
    </row>
    <row r="20" spans="1:36" x14ac:dyDescent="0.25">
      <c r="A20" s="130"/>
      <c r="B20" s="125"/>
      <c r="C20" s="50" t="s">
        <v>50</v>
      </c>
      <c r="D20" s="14">
        <v>26</v>
      </c>
      <c r="E20" s="14">
        <v>26</v>
      </c>
      <c r="F20" s="14" t="s">
        <v>9</v>
      </c>
      <c r="G20" s="14" t="s">
        <v>9</v>
      </c>
      <c r="H20" s="14">
        <v>19</v>
      </c>
      <c r="I20" s="14">
        <v>14</v>
      </c>
      <c r="J20" s="14">
        <v>14</v>
      </c>
      <c r="K20" s="14">
        <v>18</v>
      </c>
      <c r="L20" s="14">
        <v>25</v>
      </c>
      <c r="M20" s="14" t="s">
        <v>9</v>
      </c>
      <c r="N20" s="14" t="s">
        <v>9</v>
      </c>
      <c r="O20" s="14">
        <v>30</v>
      </c>
      <c r="P20" s="14">
        <v>8</v>
      </c>
      <c r="Q20" s="14">
        <v>13</v>
      </c>
      <c r="R20" s="14">
        <v>13</v>
      </c>
      <c r="S20" s="14">
        <v>20</v>
      </c>
      <c r="T20" s="14" t="s">
        <v>9</v>
      </c>
      <c r="U20" s="14" t="s">
        <v>9</v>
      </c>
      <c r="V20" s="14">
        <v>8</v>
      </c>
      <c r="W20" s="14">
        <v>15</v>
      </c>
      <c r="X20" s="14">
        <v>13</v>
      </c>
      <c r="Y20" s="14">
        <v>15</v>
      </c>
      <c r="Z20" s="14">
        <v>12</v>
      </c>
      <c r="AA20" s="14" t="s">
        <v>9</v>
      </c>
      <c r="AB20" s="14" t="s">
        <v>9</v>
      </c>
      <c r="AC20" s="14">
        <v>12</v>
      </c>
      <c r="AD20" s="14"/>
      <c r="AE20" s="14"/>
      <c r="AF20" s="14"/>
      <c r="AG20" s="14"/>
      <c r="AH20" s="14"/>
      <c r="AI20" s="55">
        <f t="shared" si="2"/>
        <v>301</v>
      </c>
      <c r="AJ20" s="151"/>
    </row>
    <row r="21" spans="1:36" s="5" customFormat="1" x14ac:dyDescent="0.25">
      <c r="A21" s="130"/>
      <c r="B21" s="125"/>
      <c r="C21" s="50" t="s">
        <v>49</v>
      </c>
      <c r="D21" s="14">
        <v>0</v>
      </c>
      <c r="E21" s="14">
        <v>0</v>
      </c>
      <c r="F21" s="14" t="s">
        <v>9</v>
      </c>
      <c r="G21" s="14" t="s">
        <v>9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 t="s">
        <v>9</v>
      </c>
      <c r="N21" s="14" t="s">
        <v>9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 t="s">
        <v>9</v>
      </c>
      <c r="U21" s="14" t="s">
        <v>9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 t="s">
        <v>9</v>
      </c>
      <c r="AB21" s="14" t="s">
        <v>9</v>
      </c>
      <c r="AC21" s="14">
        <v>0</v>
      </c>
      <c r="AD21" s="14"/>
      <c r="AE21" s="14"/>
      <c r="AF21" s="14"/>
      <c r="AG21" s="14"/>
      <c r="AH21" s="14"/>
      <c r="AI21" s="55">
        <f t="shared" si="2"/>
        <v>0</v>
      </c>
      <c r="AJ21" s="151"/>
    </row>
    <row r="22" spans="1:36" x14ac:dyDescent="0.25">
      <c r="A22" s="130"/>
      <c r="B22" s="126"/>
      <c r="C22" s="50" t="s">
        <v>51</v>
      </c>
      <c r="D22" s="14">
        <v>1</v>
      </c>
      <c r="E22" s="14">
        <v>1</v>
      </c>
      <c r="F22" s="14" t="s">
        <v>9</v>
      </c>
      <c r="G22" s="14" t="s">
        <v>9</v>
      </c>
      <c r="H22" s="14">
        <v>2</v>
      </c>
      <c r="I22" s="14">
        <v>10</v>
      </c>
      <c r="J22" s="14">
        <v>4</v>
      </c>
      <c r="K22" s="14">
        <v>6</v>
      </c>
      <c r="L22" s="14">
        <v>1</v>
      </c>
      <c r="M22" s="14" t="s">
        <v>9</v>
      </c>
      <c r="N22" s="14" t="s">
        <v>9</v>
      </c>
      <c r="O22" s="14">
        <v>5</v>
      </c>
      <c r="P22" s="14">
        <v>2</v>
      </c>
      <c r="Q22" s="14">
        <v>3</v>
      </c>
      <c r="R22" s="14">
        <v>8</v>
      </c>
      <c r="S22" s="14">
        <v>2</v>
      </c>
      <c r="T22" s="14" t="s">
        <v>9</v>
      </c>
      <c r="U22" s="14" t="s">
        <v>9</v>
      </c>
      <c r="V22" s="14">
        <v>1</v>
      </c>
      <c r="W22" s="14">
        <v>2</v>
      </c>
      <c r="X22" s="14">
        <v>6</v>
      </c>
      <c r="Y22" s="14">
        <v>9</v>
      </c>
      <c r="Z22" s="14">
        <v>0</v>
      </c>
      <c r="AA22" s="14" t="s">
        <v>9</v>
      </c>
      <c r="AB22" s="14" t="s">
        <v>9</v>
      </c>
      <c r="AC22" s="14">
        <v>1</v>
      </c>
      <c r="AD22" s="14"/>
      <c r="AE22" s="14"/>
      <c r="AF22" s="14"/>
      <c r="AG22" s="14"/>
      <c r="AH22" s="14"/>
      <c r="AI22" s="55">
        <f t="shared" si="2"/>
        <v>64</v>
      </c>
      <c r="AJ22" s="151"/>
    </row>
    <row r="23" spans="1:36" x14ac:dyDescent="0.25">
      <c r="A23" s="130"/>
      <c r="B23" s="127" t="s">
        <v>45</v>
      </c>
      <c r="C23" s="51" t="s">
        <v>46</v>
      </c>
      <c r="D23" s="3">
        <v>13</v>
      </c>
      <c r="E23" s="3">
        <v>13</v>
      </c>
      <c r="F23" s="3" t="s">
        <v>9</v>
      </c>
      <c r="G23" s="3" t="s">
        <v>9</v>
      </c>
      <c r="H23" s="3">
        <v>16</v>
      </c>
      <c r="I23" s="3">
        <v>31</v>
      </c>
      <c r="J23" s="3">
        <v>12</v>
      </c>
      <c r="K23" s="3">
        <v>15</v>
      </c>
      <c r="L23" s="3">
        <v>13</v>
      </c>
      <c r="M23" s="3" t="s">
        <v>9</v>
      </c>
      <c r="N23" s="3" t="s">
        <v>9</v>
      </c>
      <c r="O23" s="3">
        <v>18</v>
      </c>
      <c r="P23" s="3">
        <v>3</v>
      </c>
      <c r="Q23" s="3">
        <v>10</v>
      </c>
      <c r="R23" s="3">
        <v>24</v>
      </c>
      <c r="S23" s="3">
        <v>6</v>
      </c>
      <c r="T23" s="3" t="s">
        <v>9</v>
      </c>
      <c r="U23" s="3" t="s">
        <v>9</v>
      </c>
      <c r="V23" s="3">
        <v>5</v>
      </c>
      <c r="W23" s="3">
        <v>11</v>
      </c>
      <c r="X23" s="3">
        <v>31</v>
      </c>
      <c r="Y23" s="3">
        <v>18</v>
      </c>
      <c r="Z23" s="3">
        <v>14</v>
      </c>
      <c r="AA23" s="3" t="s">
        <v>9</v>
      </c>
      <c r="AB23" s="3" t="s">
        <v>9</v>
      </c>
      <c r="AC23" s="3">
        <v>10</v>
      </c>
      <c r="AD23" s="3"/>
      <c r="AE23" s="3"/>
      <c r="AF23" s="3"/>
      <c r="AG23" s="3"/>
      <c r="AH23" s="3"/>
      <c r="AI23" s="55">
        <f t="shared" si="2"/>
        <v>263</v>
      </c>
      <c r="AJ23" s="152"/>
    </row>
    <row r="24" spans="1:36" ht="13.5" thickBot="1" x14ac:dyDescent="0.3">
      <c r="A24" s="131"/>
      <c r="B24" s="128"/>
      <c r="C24" s="52" t="s">
        <v>47</v>
      </c>
      <c r="D24" s="8">
        <v>1</v>
      </c>
      <c r="E24" s="8">
        <v>0</v>
      </c>
      <c r="F24" s="8" t="s">
        <v>9</v>
      </c>
      <c r="G24" s="8" t="s">
        <v>9</v>
      </c>
      <c r="H24" s="8">
        <v>0</v>
      </c>
      <c r="I24" s="8">
        <v>0</v>
      </c>
      <c r="J24" s="8">
        <v>1</v>
      </c>
      <c r="K24" s="8">
        <v>0</v>
      </c>
      <c r="L24" s="8">
        <v>3</v>
      </c>
      <c r="M24" s="8" t="s">
        <v>9</v>
      </c>
      <c r="N24" s="8" t="s">
        <v>9</v>
      </c>
      <c r="O24" s="8">
        <v>1</v>
      </c>
      <c r="P24" s="8">
        <v>0</v>
      </c>
      <c r="Q24" s="8">
        <v>0</v>
      </c>
      <c r="R24" s="8">
        <v>3</v>
      </c>
      <c r="S24" s="8">
        <v>1</v>
      </c>
      <c r="T24" s="8" t="s">
        <v>9</v>
      </c>
      <c r="U24" s="8" t="s">
        <v>9</v>
      </c>
      <c r="V24" s="8">
        <v>1</v>
      </c>
      <c r="W24" s="8">
        <v>0</v>
      </c>
      <c r="X24" s="8">
        <v>3</v>
      </c>
      <c r="Y24" s="8">
        <v>1</v>
      </c>
      <c r="Z24" s="8">
        <v>2</v>
      </c>
      <c r="AA24" s="8" t="s">
        <v>9</v>
      </c>
      <c r="AB24" s="8" t="s">
        <v>9</v>
      </c>
      <c r="AC24" s="8">
        <v>0</v>
      </c>
      <c r="AD24" s="8"/>
      <c r="AE24" s="8"/>
      <c r="AF24" s="8"/>
      <c r="AG24" s="8"/>
      <c r="AH24" s="8"/>
      <c r="AI24" s="56">
        <f t="shared" si="2"/>
        <v>17</v>
      </c>
      <c r="AJ24" s="153"/>
    </row>
    <row r="25" spans="1:36" x14ac:dyDescent="0.25">
      <c r="A25" s="106" t="s">
        <v>39</v>
      </c>
      <c r="B25" s="124" t="s">
        <v>18</v>
      </c>
      <c r="C25" s="49" t="s">
        <v>48</v>
      </c>
      <c r="D25" s="7" t="s">
        <v>9</v>
      </c>
      <c r="E25" s="7">
        <v>10</v>
      </c>
      <c r="F25" s="7" t="s">
        <v>9</v>
      </c>
      <c r="G25" s="7" t="s">
        <v>9</v>
      </c>
      <c r="H25" s="7">
        <v>10</v>
      </c>
      <c r="I25" s="7">
        <v>28</v>
      </c>
      <c r="J25" s="7">
        <v>26</v>
      </c>
      <c r="K25" s="7">
        <v>10</v>
      </c>
      <c r="L25" s="7" t="s">
        <v>9</v>
      </c>
      <c r="M25" s="7" t="s">
        <v>9</v>
      </c>
      <c r="N25" s="7" t="s">
        <v>9</v>
      </c>
      <c r="O25" s="7">
        <v>1</v>
      </c>
      <c r="P25" s="7">
        <v>0</v>
      </c>
      <c r="Q25" s="7">
        <v>1</v>
      </c>
      <c r="R25" s="7">
        <v>5</v>
      </c>
      <c r="S25" s="7">
        <v>5</v>
      </c>
      <c r="T25" s="7" t="s">
        <v>9</v>
      </c>
      <c r="U25" s="7" t="s">
        <v>9</v>
      </c>
      <c r="V25" s="7">
        <v>19</v>
      </c>
      <c r="W25" s="7">
        <v>10</v>
      </c>
      <c r="X25" s="7">
        <v>14</v>
      </c>
      <c r="Y25" s="7">
        <v>12</v>
      </c>
      <c r="Z25" s="7">
        <v>1</v>
      </c>
      <c r="AA25" s="7" t="s">
        <v>9</v>
      </c>
      <c r="AB25" s="7">
        <v>37</v>
      </c>
      <c r="AC25" s="7">
        <v>16</v>
      </c>
      <c r="AD25" s="7"/>
      <c r="AE25" s="7"/>
      <c r="AF25" s="7"/>
      <c r="AG25" s="7"/>
      <c r="AH25" s="7"/>
      <c r="AI25" s="54">
        <f t="shared" ref="AI25:AI30" si="3">SUM(D25:AH25)</f>
        <v>205</v>
      </c>
      <c r="AJ25" s="154">
        <f>SUM(AI25:AI30)</f>
        <v>807</v>
      </c>
    </row>
    <row r="26" spans="1:36" x14ac:dyDescent="0.25">
      <c r="A26" s="72"/>
      <c r="B26" s="125"/>
      <c r="C26" s="50" t="s">
        <v>50</v>
      </c>
      <c r="D26" s="14" t="s">
        <v>9</v>
      </c>
      <c r="E26" s="14">
        <v>11</v>
      </c>
      <c r="F26" s="14" t="s">
        <v>9</v>
      </c>
      <c r="G26" s="14" t="s">
        <v>9</v>
      </c>
      <c r="H26" s="14">
        <v>21</v>
      </c>
      <c r="I26" s="14">
        <v>12</v>
      </c>
      <c r="J26" s="14">
        <f>7+8</f>
        <v>15</v>
      </c>
      <c r="K26" s="14">
        <v>13</v>
      </c>
      <c r="L26" s="14" t="s">
        <v>9</v>
      </c>
      <c r="M26" s="14" t="s">
        <v>9</v>
      </c>
      <c r="N26" s="14" t="s">
        <v>9</v>
      </c>
      <c r="O26" s="14">
        <v>17</v>
      </c>
      <c r="P26" s="14">
        <v>22</v>
      </c>
      <c r="Q26" s="14">
        <v>20</v>
      </c>
      <c r="R26" s="14">
        <v>18</v>
      </c>
      <c r="S26" s="14">
        <v>17</v>
      </c>
      <c r="T26" s="14" t="s">
        <v>9</v>
      </c>
      <c r="U26" s="14" t="s">
        <v>9</v>
      </c>
      <c r="V26" s="14">
        <v>25</v>
      </c>
      <c r="W26" s="14">
        <v>24</v>
      </c>
      <c r="X26" s="14">
        <v>18</v>
      </c>
      <c r="Y26" s="14">
        <v>20</v>
      </c>
      <c r="Z26" s="14">
        <v>21</v>
      </c>
      <c r="AA26" s="14" t="s">
        <v>9</v>
      </c>
      <c r="AB26" s="14">
        <v>34</v>
      </c>
      <c r="AC26" s="14">
        <v>15</v>
      </c>
      <c r="AD26" s="14"/>
      <c r="AE26" s="14"/>
      <c r="AF26" s="14"/>
      <c r="AG26" s="14"/>
      <c r="AH26" s="14"/>
      <c r="AI26" s="55">
        <f t="shared" si="3"/>
        <v>323</v>
      </c>
      <c r="AJ26" s="151"/>
    </row>
    <row r="27" spans="1:36" x14ac:dyDescent="0.25">
      <c r="A27" s="72"/>
      <c r="B27" s="125"/>
      <c r="C27" s="50" t="s">
        <v>49</v>
      </c>
      <c r="D27" s="14" t="s">
        <v>9</v>
      </c>
      <c r="E27" s="14">
        <v>0</v>
      </c>
      <c r="F27" s="14" t="s">
        <v>9</v>
      </c>
      <c r="G27" s="14" t="s">
        <v>9</v>
      </c>
      <c r="H27" s="14">
        <v>0</v>
      </c>
      <c r="I27" s="14">
        <v>0</v>
      </c>
      <c r="J27" s="14">
        <v>0</v>
      </c>
      <c r="K27" s="14">
        <v>0</v>
      </c>
      <c r="L27" s="14" t="s">
        <v>9</v>
      </c>
      <c r="M27" s="14" t="s">
        <v>9</v>
      </c>
      <c r="N27" s="14" t="s">
        <v>9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 t="s">
        <v>9</v>
      </c>
      <c r="U27" s="14" t="s">
        <v>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 t="s">
        <v>9</v>
      </c>
      <c r="AB27" s="14">
        <v>0</v>
      </c>
      <c r="AC27" s="14">
        <v>0</v>
      </c>
      <c r="AD27" s="14"/>
      <c r="AE27" s="14"/>
      <c r="AF27" s="14"/>
      <c r="AG27" s="14"/>
      <c r="AH27" s="14"/>
      <c r="AI27" s="55">
        <f t="shared" si="3"/>
        <v>0</v>
      </c>
      <c r="AJ27" s="151"/>
    </row>
    <row r="28" spans="1:36" x14ac:dyDescent="0.25">
      <c r="A28" s="72"/>
      <c r="B28" s="126"/>
      <c r="C28" s="50" t="s">
        <v>51</v>
      </c>
      <c r="D28" s="14" t="s">
        <v>9</v>
      </c>
      <c r="E28" s="14">
        <v>1</v>
      </c>
      <c r="F28" s="14" t="s">
        <v>9</v>
      </c>
      <c r="G28" s="14" t="s">
        <v>9</v>
      </c>
      <c r="H28" s="14">
        <v>4</v>
      </c>
      <c r="I28" s="14">
        <v>2</v>
      </c>
      <c r="J28" s="14">
        <v>0</v>
      </c>
      <c r="K28" s="14">
        <v>4</v>
      </c>
      <c r="L28" s="14" t="s">
        <v>9</v>
      </c>
      <c r="M28" s="14" t="s">
        <v>9</v>
      </c>
      <c r="N28" s="14" t="s">
        <v>9</v>
      </c>
      <c r="O28" s="14">
        <v>5</v>
      </c>
      <c r="P28" s="14">
        <v>0</v>
      </c>
      <c r="Q28" s="14">
        <v>3</v>
      </c>
      <c r="R28" s="14">
        <v>6</v>
      </c>
      <c r="S28" s="14">
        <v>3</v>
      </c>
      <c r="T28" s="14" t="s">
        <v>9</v>
      </c>
      <c r="U28" s="14" t="s">
        <v>9</v>
      </c>
      <c r="V28" s="14">
        <v>7</v>
      </c>
      <c r="W28" s="14">
        <v>4</v>
      </c>
      <c r="X28" s="14">
        <v>6</v>
      </c>
      <c r="Y28" s="14">
        <v>4</v>
      </c>
      <c r="Z28" s="14">
        <v>4</v>
      </c>
      <c r="AA28" s="14" t="s">
        <v>9</v>
      </c>
      <c r="AB28" s="14">
        <v>1</v>
      </c>
      <c r="AC28" s="14">
        <v>4</v>
      </c>
      <c r="AD28" s="14"/>
      <c r="AE28" s="14"/>
      <c r="AF28" s="14"/>
      <c r="AG28" s="14"/>
      <c r="AH28" s="14"/>
      <c r="AI28" s="55">
        <f t="shared" si="3"/>
        <v>58</v>
      </c>
      <c r="AJ28" s="151"/>
    </row>
    <row r="29" spans="1:36" x14ac:dyDescent="0.25">
      <c r="A29" s="72"/>
      <c r="B29" s="127" t="s">
        <v>45</v>
      </c>
      <c r="C29" s="51" t="s">
        <v>46</v>
      </c>
      <c r="D29" s="3" t="s">
        <v>9</v>
      </c>
      <c r="E29" s="3">
        <v>3</v>
      </c>
      <c r="F29" s="3" t="s">
        <v>9</v>
      </c>
      <c r="G29" s="3" t="s">
        <v>9</v>
      </c>
      <c r="H29" s="3">
        <v>11</v>
      </c>
      <c r="I29" s="2">
        <v>19</v>
      </c>
      <c r="J29" s="3">
        <v>6</v>
      </c>
      <c r="K29" s="3">
        <v>7</v>
      </c>
      <c r="L29" s="3" t="s">
        <v>9</v>
      </c>
      <c r="M29" s="3" t="s">
        <v>9</v>
      </c>
      <c r="N29" s="3" t="s">
        <v>9</v>
      </c>
      <c r="O29" s="3">
        <v>11</v>
      </c>
      <c r="P29" s="3">
        <v>5</v>
      </c>
      <c r="Q29" s="3">
        <v>14</v>
      </c>
      <c r="R29" s="3">
        <v>16</v>
      </c>
      <c r="S29" s="3">
        <v>13</v>
      </c>
      <c r="T29" s="3" t="s">
        <v>9</v>
      </c>
      <c r="U29" s="3" t="s">
        <v>9</v>
      </c>
      <c r="V29" s="3">
        <v>13</v>
      </c>
      <c r="W29" s="3">
        <v>23</v>
      </c>
      <c r="X29" s="3">
        <v>26</v>
      </c>
      <c r="Y29" s="3">
        <v>16</v>
      </c>
      <c r="Z29" s="3">
        <v>17</v>
      </c>
      <c r="AA29" s="3" t="s">
        <v>9</v>
      </c>
      <c r="AB29" s="3">
        <v>11</v>
      </c>
      <c r="AC29" s="3">
        <v>7</v>
      </c>
      <c r="AD29" s="3"/>
      <c r="AE29" s="3"/>
      <c r="AF29" s="3"/>
      <c r="AG29" s="3"/>
      <c r="AH29" s="3"/>
      <c r="AI29" s="55">
        <f t="shared" si="3"/>
        <v>218</v>
      </c>
      <c r="AJ29" s="152"/>
    </row>
    <row r="30" spans="1:36" ht="15" customHeight="1" thickBot="1" x14ac:dyDescent="0.3">
      <c r="A30" s="107"/>
      <c r="B30" s="128"/>
      <c r="C30" s="52" t="s">
        <v>47</v>
      </c>
      <c r="D30" s="8" t="s">
        <v>9</v>
      </c>
      <c r="E30" s="8">
        <v>0</v>
      </c>
      <c r="F30" s="8" t="s">
        <v>9</v>
      </c>
      <c r="G30" s="8" t="s">
        <v>9</v>
      </c>
      <c r="H30" s="8">
        <v>0</v>
      </c>
      <c r="I30" s="8">
        <v>1</v>
      </c>
      <c r="J30" s="8">
        <v>0</v>
      </c>
      <c r="K30" s="8">
        <v>0</v>
      </c>
      <c r="L30" s="8" t="s">
        <v>9</v>
      </c>
      <c r="M30" s="8" t="s">
        <v>9</v>
      </c>
      <c r="N30" s="8" t="s">
        <v>9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 t="s">
        <v>9</v>
      </c>
      <c r="U30" s="8" t="s">
        <v>9</v>
      </c>
      <c r="V30" s="8">
        <v>0</v>
      </c>
      <c r="W30" s="8">
        <v>0</v>
      </c>
      <c r="X30" s="8">
        <v>1</v>
      </c>
      <c r="Y30" s="8">
        <v>1</v>
      </c>
      <c r="Z30" s="8">
        <v>0</v>
      </c>
      <c r="AA30" s="8" t="s">
        <v>9</v>
      </c>
      <c r="AB30" s="8">
        <v>0</v>
      </c>
      <c r="AC30" s="8">
        <v>0</v>
      </c>
      <c r="AD30" s="8"/>
      <c r="AE30" s="8"/>
      <c r="AF30" s="8"/>
      <c r="AG30" s="8"/>
      <c r="AH30" s="8"/>
      <c r="AI30" s="56">
        <f t="shared" si="3"/>
        <v>3</v>
      </c>
      <c r="AJ30" s="153"/>
    </row>
    <row r="31" spans="1:36" x14ac:dyDescent="0.25">
      <c r="A31" s="142" t="s">
        <v>32</v>
      </c>
      <c r="B31" s="124" t="s">
        <v>18</v>
      </c>
      <c r="C31" s="49" t="s">
        <v>48</v>
      </c>
      <c r="D31" s="7" t="s">
        <v>9</v>
      </c>
      <c r="E31" s="7">
        <v>49</v>
      </c>
      <c r="F31" s="7" t="s">
        <v>9</v>
      </c>
      <c r="G31" s="7" t="s">
        <v>9</v>
      </c>
      <c r="H31" s="7">
        <v>8</v>
      </c>
      <c r="I31" s="7">
        <v>16</v>
      </c>
      <c r="J31" s="7">
        <v>18</v>
      </c>
      <c r="K31" s="7">
        <v>11</v>
      </c>
      <c r="L31" s="7">
        <v>2</v>
      </c>
      <c r="M31" s="7">
        <v>13</v>
      </c>
      <c r="N31" s="7" t="s">
        <v>9</v>
      </c>
      <c r="O31" s="7">
        <v>15</v>
      </c>
      <c r="P31" s="7">
        <v>1</v>
      </c>
      <c r="Q31" s="7">
        <v>3</v>
      </c>
      <c r="R31" s="7">
        <v>5</v>
      </c>
      <c r="S31" s="7">
        <v>11</v>
      </c>
      <c r="T31" s="7" t="s">
        <v>9</v>
      </c>
      <c r="U31" s="7">
        <v>12</v>
      </c>
      <c r="V31" s="7" t="s">
        <v>9</v>
      </c>
      <c r="W31" s="7">
        <v>11</v>
      </c>
      <c r="X31" s="7">
        <v>11</v>
      </c>
      <c r="Y31" s="7">
        <v>8</v>
      </c>
      <c r="Z31" s="7">
        <v>5</v>
      </c>
      <c r="AA31" s="7">
        <v>0</v>
      </c>
      <c r="AB31" s="7" t="s">
        <v>9</v>
      </c>
      <c r="AC31" s="7">
        <v>14</v>
      </c>
      <c r="AD31" s="7"/>
      <c r="AE31" s="7"/>
      <c r="AF31" s="7"/>
      <c r="AG31" s="7"/>
      <c r="AH31" s="7"/>
      <c r="AI31" s="54">
        <f t="shared" si="2"/>
        <v>213</v>
      </c>
      <c r="AJ31" s="154">
        <f t="shared" ref="AJ31" si="4">SUM(AI31:AI36)</f>
        <v>769</v>
      </c>
    </row>
    <row r="32" spans="1:36" x14ac:dyDescent="0.25">
      <c r="A32" s="143"/>
      <c r="B32" s="125"/>
      <c r="C32" s="50" t="s">
        <v>50</v>
      </c>
      <c r="D32" s="14" t="s">
        <v>9</v>
      </c>
      <c r="E32" s="14">
        <v>10</v>
      </c>
      <c r="F32" s="14" t="s">
        <v>9</v>
      </c>
      <c r="G32" s="14" t="s">
        <v>9</v>
      </c>
      <c r="H32" s="14">
        <v>14</v>
      </c>
      <c r="I32" s="14">
        <v>10</v>
      </c>
      <c r="J32" s="14">
        <v>13</v>
      </c>
      <c r="K32" s="14">
        <v>9</v>
      </c>
      <c r="L32" s="14">
        <v>13</v>
      </c>
      <c r="M32" s="14">
        <v>16</v>
      </c>
      <c r="N32" s="14" t="s">
        <v>9</v>
      </c>
      <c r="O32" s="14">
        <v>14</v>
      </c>
      <c r="P32" s="14">
        <v>16</v>
      </c>
      <c r="Q32" s="14">
        <v>14</v>
      </c>
      <c r="R32" s="14">
        <v>13</v>
      </c>
      <c r="S32" s="14">
        <v>11</v>
      </c>
      <c r="T32" s="14" t="s">
        <v>9</v>
      </c>
      <c r="U32" s="14">
        <v>41</v>
      </c>
      <c r="V32" s="14" t="s">
        <v>9</v>
      </c>
      <c r="W32" s="14">
        <v>11</v>
      </c>
      <c r="X32" s="14">
        <v>16</v>
      </c>
      <c r="Y32" s="14">
        <v>10</v>
      </c>
      <c r="Z32" s="14">
        <v>13</v>
      </c>
      <c r="AA32" s="14">
        <v>8</v>
      </c>
      <c r="AB32" s="14" t="s">
        <v>9</v>
      </c>
      <c r="AC32" s="14">
        <v>15</v>
      </c>
      <c r="AD32" s="14"/>
      <c r="AE32" s="14"/>
      <c r="AF32" s="14"/>
      <c r="AG32" s="14"/>
      <c r="AH32" s="14"/>
      <c r="AI32" s="55">
        <f t="shared" si="2"/>
        <v>267</v>
      </c>
      <c r="AJ32" s="151"/>
    </row>
    <row r="33" spans="1:36" x14ac:dyDescent="0.25">
      <c r="A33" s="143"/>
      <c r="B33" s="125"/>
      <c r="C33" s="50" t="s">
        <v>49</v>
      </c>
      <c r="D33" s="14" t="s">
        <v>9</v>
      </c>
      <c r="E33" s="14">
        <v>0</v>
      </c>
      <c r="F33" s="14" t="s">
        <v>9</v>
      </c>
      <c r="G33" s="14" t="s">
        <v>9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 t="s">
        <v>9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 t="s">
        <v>9</v>
      </c>
      <c r="U33" s="14">
        <v>0</v>
      </c>
      <c r="V33" s="14" t="s">
        <v>9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 t="s">
        <v>9</v>
      </c>
      <c r="AC33" s="14">
        <v>0</v>
      </c>
      <c r="AD33" s="14"/>
      <c r="AE33" s="14"/>
      <c r="AF33" s="14"/>
      <c r="AG33" s="14"/>
      <c r="AH33" s="14"/>
      <c r="AI33" s="55">
        <f t="shared" si="2"/>
        <v>0</v>
      </c>
      <c r="AJ33" s="151"/>
    </row>
    <row r="34" spans="1:36" x14ac:dyDescent="0.25">
      <c r="A34" s="143"/>
      <c r="B34" s="126"/>
      <c r="C34" s="50" t="s">
        <v>51</v>
      </c>
      <c r="D34" s="14" t="s">
        <v>9</v>
      </c>
      <c r="E34" s="14">
        <v>5</v>
      </c>
      <c r="F34" s="14" t="s">
        <v>9</v>
      </c>
      <c r="G34" s="14" t="s">
        <v>9</v>
      </c>
      <c r="H34" s="14">
        <v>7</v>
      </c>
      <c r="I34" s="14">
        <v>6</v>
      </c>
      <c r="J34" s="14">
        <v>2</v>
      </c>
      <c r="K34" s="14">
        <v>0</v>
      </c>
      <c r="L34" s="14">
        <v>4</v>
      </c>
      <c r="M34" s="14">
        <v>4</v>
      </c>
      <c r="N34" s="14" t="s">
        <v>9</v>
      </c>
      <c r="O34" s="14">
        <v>3</v>
      </c>
      <c r="P34" s="14">
        <v>1</v>
      </c>
      <c r="Q34" s="14">
        <v>5</v>
      </c>
      <c r="R34" s="14">
        <v>2</v>
      </c>
      <c r="S34" s="14">
        <v>3</v>
      </c>
      <c r="T34" s="14" t="s">
        <v>9</v>
      </c>
      <c r="U34" s="14">
        <v>2</v>
      </c>
      <c r="V34" s="14" t="s">
        <v>9</v>
      </c>
      <c r="W34" s="14">
        <v>3</v>
      </c>
      <c r="X34" s="14">
        <v>4</v>
      </c>
      <c r="Y34" s="14">
        <v>2</v>
      </c>
      <c r="Z34" s="14">
        <v>2</v>
      </c>
      <c r="AA34" s="14">
        <v>3</v>
      </c>
      <c r="AB34" s="14" t="s">
        <v>9</v>
      </c>
      <c r="AC34" s="14">
        <v>3</v>
      </c>
      <c r="AD34" s="14"/>
      <c r="AE34" s="14"/>
      <c r="AF34" s="14"/>
      <c r="AG34" s="14"/>
      <c r="AH34" s="14"/>
      <c r="AI34" s="55">
        <f t="shared" si="2"/>
        <v>61</v>
      </c>
      <c r="AJ34" s="151"/>
    </row>
    <row r="35" spans="1:36" x14ac:dyDescent="0.25">
      <c r="A35" s="143"/>
      <c r="B35" s="127" t="s">
        <v>45</v>
      </c>
      <c r="C35" s="51" t="s">
        <v>46</v>
      </c>
      <c r="D35" s="3" t="s">
        <v>9</v>
      </c>
      <c r="E35" s="3">
        <v>13</v>
      </c>
      <c r="F35" s="3" t="s">
        <v>9</v>
      </c>
      <c r="G35" s="3" t="s">
        <v>9</v>
      </c>
      <c r="H35" s="3">
        <v>20</v>
      </c>
      <c r="I35" s="3">
        <v>34</v>
      </c>
      <c r="J35" s="3">
        <v>6</v>
      </c>
      <c r="K35" s="3">
        <v>6</v>
      </c>
      <c r="L35" s="3">
        <v>14</v>
      </c>
      <c r="M35" s="3">
        <v>14</v>
      </c>
      <c r="N35" s="3" t="s">
        <v>9</v>
      </c>
      <c r="O35" s="3">
        <v>8</v>
      </c>
      <c r="P35" s="3">
        <v>6</v>
      </c>
      <c r="Q35" s="3">
        <v>13</v>
      </c>
      <c r="R35" s="3">
        <v>8</v>
      </c>
      <c r="S35" s="3">
        <v>12</v>
      </c>
      <c r="T35" s="3" t="s">
        <v>9</v>
      </c>
      <c r="U35" s="3">
        <v>5</v>
      </c>
      <c r="V35" s="3" t="s">
        <v>9</v>
      </c>
      <c r="W35" s="3">
        <v>9</v>
      </c>
      <c r="X35" s="3">
        <v>16</v>
      </c>
      <c r="Y35" s="3">
        <v>11</v>
      </c>
      <c r="Z35" s="3">
        <v>4</v>
      </c>
      <c r="AA35" s="3">
        <v>8</v>
      </c>
      <c r="AB35" s="3" t="s">
        <v>9</v>
      </c>
      <c r="AC35" s="3">
        <v>6</v>
      </c>
      <c r="AD35" s="3"/>
      <c r="AE35" s="3"/>
      <c r="AF35" s="3"/>
      <c r="AG35" s="3"/>
      <c r="AH35" s="3"/>
      <c r="AI35" s="55">
        <f t="shared" si="2"/>
        <v>213</v>
      </c>
      <c r="AJ35" s="152"/>
    </row>
    <row r="36" spans="1:36" ht="13.5" thickBot="1" x14ac:dyDescent="0.3">
      <c r="A36" s="144"/>
      <c r="B36" s="128"/>
      <c r="C36" s="52" t="s">
        <v>47</v>
      </c>
      <c r="D36" s="8" t="s">
        <v>9</v>
      </c>
      <c r="E36" s="8">
        <v>0</v>
      </c>
      <c r="F36" s="8" t="s">
        <v>9</v>
      </c>
      <c r="G36" s="8" t="s">
        <v>9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0</v>
      </c>
      <c r="N36" s="8" t="s">
        <v>9</v>
      </c>
      <c r="O36" s="8">
        <v>0</v>
      </c>
      <c r="P36" s="8">
        <v>2</v>
      </c>
      <c r="Q36" s="8">
        <v>1</v>
      </c>
      <c r="R36" s="8">
        <v>2</v>
      </c>
      <c r="S36" s="8">
        <v>0</v>
      </c>
      <c r="T36" s="8" t="s">
        <v>9</v>
      </c>
      <c r="U36" s="8">
        <v>0</v>
      </c>
      <c r="V36" s="8" t="s">
        <v>9</v>
      </c>
      <c r="W36" s="8">
        <v>1</v>
      </c>
      <c r="X36" s="8">
        <v>1</v>
      </c>
      <c r="Y36" s="8">
        <v>2</v>
      </c>
      <c r="Z36" s="8">
        <v>1</v>
      </c>
      <c r="AA36" s="8">
        <v>0</v>
      </c>
      <c r="AB36" s="8" t="s">
        <v>9</v>
      </c>
      <c r="AC36" s="8">
        <v>0</v>
      </c>
      <c r="AD36" s="8"/>
      <c r="AE36" s="8"/>
      <c r="AF36" s="8"/>
      <c r="AG36" s="8"/>
      <c r="AH36" s="8"/>
      <c r="AI36" s="56">
        <f t="shared" si="2"/>
        <v>15</v>
      </c>
      <c r="AJ36" s="153"/>
    </row>
    <row r="37" spans="1:36" x14ac:dyDescent="0.25">
      <c r="A37" s="106" t="s">
        <v>86</v>
      </c>
      <c r="B37" s="124" t="s">
        <v>18</v>
      </c>
      <c r="C37" s="49" t="s">
        <v>48</v>
      </c>
      <c r="D37" s="66" t="s">
        <v>9</v>
      </c>
      <c r="E37" s="7">
        <v>7</v>
      </c>
      <c r="F37" s="7">
        <v>1</v>
      </c>
      <c r="G37" s="7" t="s">
        <v>9</v>
      </c>
      <c r="H37" s="7">
        <v>6</v>
      </c>
      <c r="I37" s="7">
        <v>3</v>
      </c>
      <c r="J37" s="7">
        <v>0</v>
      </c>
      <c r="K37" s="7">
        <v>11</v>
      </c>
      <c r="L37" s="7">
        <v>14</v>
      </c>
      <c r="M37" s="7" t="s">
        <v>9</v>
      </c>
      <c r="N37" s="7" t="s">
        <v>9</v>
      </c>
      <c r="O37" s="7">
        <v>18</v>
      </c>
      <c r="P37" s="7">
        <v>4</v>
      </c>
      <c r="Q37" s="7">
        <v>0</v>
      </c>
      <c r="R37" s="7">
        <v>0</v>
      </c>
      <c r="S37" s="7">
        <v>0</v>
      </c>
      <c r="T37" s="7">
        <v>0</v>
      </c>
      <c r="U37" s="7" t="s">
        <v>9</v>
      </c>
      <c r="V37" s="7">
        <v>1</v>
      </c>
      <c r="W37" s="7">
        <v>0</v>
      </c>
      <c r="X37" s="7">
        <v>21</v>
      </c>
      <c r="Y37" s="7">
        <v>1</v>
      </c>
      <c r="Z37" s="7">
        <v>1</v>
      </c>
      <c r="AA37" s="7" t="s">
        <v>9</v>
      </c>
      <c r="AB37" s="7" t="s">
        <v>9</v>
      </c>
      <c r="AC37" s="7">
        <v>3</v>
      </c>
      <c r="AD37" s="7"/>
      <c r="AE37" s="7"/>
      <c r="AF37" s="7"/>
      <c r="AG37" s="7"/>
      <c r="AH37" s="7"/>
      <c r="AI37" s="45">
        <f t="shared" ref="AI37:AI42" si="5">SUM(D37:AH37)</f>
        <v>91</v>
      </c>
      <c r="AJ37" s="154">
        <f t="shared" ref="AJ37" si="6">SUM(AI37:AI42)</f>
        <v>612</v>
      </c>
    </row>
    <row r="38" spans="1:36" x14ac:dyDescent="0.25">
      <c r="A38" s="72"/>
      <c r="B38" s="125"/>
      <c r="C38" s="50" t="s">
        <v>50</v>
      </c>
      <c r="D38" s="64" t="s">
        <v>9</v>
      </c>
      <c r="E38" s="3">
        <v>1</v>
      </c>
      <c r="F38" s="3">
        <v>0</v>
      </c>
      <c r="G38" s="3" t="s">
        <v>9</v>
      </c>
      <c r="H38" s="3">
        <v>1</v>
      </c>
      <c r="I38" s="3">
        <v>1</v>
      </c>
      <c r="J38" s="3">
        <v>0</v>
      </c>
      <c r="K38" s="3">
        <v>2</v>
      </c>
      <c r="L38" s="3">
        <v>1</v>
      </c>
      <c r="M38" s="3" t="s">
        <v>9</v>
      </c>
      <c r="N38" s="14" t="s">
        <v>9</v>
      </c>
      <c r="O38" s="3">
        <v>1</v>
      </c>
      <c r="P38" s="3">
        <v>2</v>
      </c>
      <c r="Q38" s="3">
        <v>0</v>
      </c>
      <c r="R38" s="3">
        <v>0</v>
      </c>
      <c r="S38" s="3">
        <v>2</v>
      </c>
      <c r="T38" s="3">
        <v>2</v>
      </c>
      <c r="U38" s="14" t="s">
        <v>9</v>
      </c>
      <c r="V38" s="3">
        <v>0</v>
      </c>
      <c r="W38" s="14">
        <v>0</v>
      </c>
      <c r="X38" s="14">
        <v>2</v>
      </c>
      <c r="Y38" s="3">
        <v>0</v>
      </c>
      <c r="Z38" s="3">
        <v>0</v>
      </c>
      <c r="AA38" s="3" t="s">
        <v>9</v>
      </c>
      <c r="AB38" s="3" t="s">
        <v>9</v>
      </c>
      <c r="AC38" s="3">
        <v>2</v>
      </c>
      <c r="AD38" s="14"/>
      <c r="AE38" s="14"/>
      <c r="AF38" s="14"/>
      <c r="AG38" s="14"/>
      <c r="AH38" s="14"/>
      <c r="AI38" s="44">
        <f t="shared" si="5"/>
        <v>17</v>
      </c>
      <c r="AJ38" s="151"/>
    </row>
    <row r="39" spans="1:36" ht="13.5" customHeight="1" x14ac:dyDescent="0.25">
      <c r="A39" s="72"/>
      <c r="B39" s="125"/>
      <c r="C39" s="50" t="s">
        <v>49</v>
      </c>
      <c r="D39" s="64" t="s">
        <v>9</v>
      </c>
      <c r="E39" s="3">
        <v>13</v>
      </c>
      <c r="F39" s="3">
        <v>10</v>
      </c>
      <c r="G39" s="3" t="s">
        <v>9</v>
      </c>
      <c r="H39" s="3">
        <v>14</v>
      </c>
      <c r="I39" s="3">
        <v>18</v>
      </c>
      <c r="J39" s="3">
        <v>6</v>
      </c>
      <c r="K39" s="3">
        <v>5</v>
      </c>
      <c r="L39" s="3">
        <v>3</v>
      </c>
      <c r="M39" s="3" t="s">
        <v>9</v>
      </c>
      <c r="N39" s="14" t="s">
        <v>9</v>
      </c>
      <c r="O39" s="3">
        <v>18</v>
      </c>
      <c r="P39" s="3">
        <v>18</v>
      </c>
      <c r="Q39" s="3">
        <v>13</v>
      </c>
      <c r="R39" s="3">
        <v>14</v>
      </c>
      <c r="S39" s="3">
        <v>3</v>
      </c>
      <c r="T39" s="3">
        <v>14</v>
      </c>
      <c r="U39" s="14" t="s">
        <v>9</v>
      </c>
      <c r="V39" s="3">
        <v>16</v>
      </c>
      <c r="W39" s="14">
        <v>4</v>
      </c>
      <c r="X39" s="14">
        <v>5</v>
      </c>
      <c r="Y39" s="3">
        <v>24</v>
      </c>
      <c r="Z39" s="3">
        <v>15</v>
      </c>
      <c r="AA39" s="3" t="s">
        <v>9</v>
      </c>
      <c r="AB39" s="3" t="s">
        <v>9</v>
      </c>
      <c r="AC39" s="3">
        <v>5</v>
      </c>
      <c r="AD39" s="14"/>
      <c r="AE39" s="14"/>
      <c r="AF39" s="14"/>
      <c r="AG39" s="14"/>
      <c r="AH39" s="14"/>
      <c r="AI39" s="44">
        <f t="shared" si="5"/>
        <v>218</v>
      </c>
      <c r="AJ39" s="151"/>
    </row>
    <row r="40" spans="1:36" x14ac:dyDescent="0.25">
      <c r="A40" s="72"/>
      <c r="B40" s="126"/>
      <c r="C40" s="50" t="s">
        <v>51</v>
      </c>
      <c r="D40" s="64" t="s">
        <v>9</v>
      </c>
      <c r="E40" s="3">
        <v>3</v>
      </c>
      <c r="F40" s="3">
        <v>3</v>
      </c>
      <c r="G40" s="3" t="s">
        <v>9</v>
      </c>
      <c r="H40" s="3">
        <v>8</v>
      </c>
      <c r="I40" s="3">
        <v>3</v>
      </c>
      <c r="J40" s="3">
        <v>3</v>
      </c>
      <c r="K40" s="3">
        <v>2</v>
      </c>
      <c r="L40" s="3">
        <v>5</v>
      </c>
      <c r="M40" s="3" t="s">
        <v>9</v>
      </c>
      <c r="N40" s="14" t="s">
        <v>9</v>
      </c>
      <c r="O40" s="3">
        <v>8</v>
      </c>
      <c r="P40" s="3">
        <v>5</v>
      </c>
      <c r="Q40" s="3">
        <v>4</v>
      </c>
      <c r="R40" s="3">
        <v>5</v>
      </c>
      <c r="S40" s="3">
        <v>1</v>
      </c>
      <c r="T40" s="3">
        <v>4</v>
      </c>
      <c r="U40" s="14" t="s">
        <v>9</v>
      </c>
      <c r="V40" s="3">
        <v>2</v>
      </c>
      <c r="W40" s="14">
        <v>5</v>
      </c>
      <c r="X40" s="14">
        <v>4</v>
      </c>
      <c r="Y40" s="3">
        <v>1</v>
      </c>
      <c r="Z40" s="3">
        <v>2</v>
      </c>
      <c r="AA40" s="3" t="s">
        <v>9</v>
      </c>
      <c r="AB40" s="3" t="s">
        <v>9</v>
      </c>
      <c r="AC40" s="3">
        <v>5</v>
      </c>
      <c r="AD40" s="14"/>
      <c r="AE40" s="14"/>
      <c r="AF40" s="14"/>
      <c r="AG40" s="14"/>
      <c r="AH40" s="14"/>
      <c r="AI40" s="44">
        <f t="shared" si="5"/>
        <v>73</v>
      </c>
      <c r="AJ40" s="151"/>
    </row>
    <row r="41" spans="1:36" x14ac:dyDescent="0.25">
      <c r="A41" s="72"/>
      <c r="B41" s="127" t="s">
        <v>45</v>
      </c>
      <c r="C41" s="51" t="s">
        <v>46</v>
      </c>
      <c r="D41" s="64" t="s">
        <v>9</v>
      </c>
      <c r="E41" s="3">
        <v>5</v>
      </c>
      <c r="F41" s="3">
        <v>22</v>
      </c>
      <c r="G41" s="3" t="s">
        <v>9</v>
      </c>
      <c r="H41" s="3">
        <v>10</v>
      </c>
      <c r="I41" s="3">
        <v>6</v>
      </c>
      <c r="J41" s="3">
        <v>6</v>
      </c>
      <c r="K41" s="3">
        <v>10</v>
      </c>
      <c r="L41" s="3">
        <v>18</v>
      </c>
      <c r="M41" s="3" t="s">
        <v>9</v>
      </c>
      <c r="N41" s="3" t="s">
        <v>9</v>
      </c>
      <c r="O41" s="3">
        <v>24</v>
      </c>
      <c r="P41" s="3">
        <v>12</v>
      </c>
      <c r="Q41" s="3">
        <v>9</v>
      </c>
      <c r="R41" s="3">
        <v>7</v>
      </c>
      <c r="S41" s="3">
        <v>2</v>
      </c>
      <c r="T41" s="3">
        <v>15</v>
      </c>
      <c r="U41" s="3" t="s">
        <v>9</v>
      </c>
      <c r="V41" s="3">
        <v>5</v>
      </c>
      <c r="W41" s="3">
        <v>5</v>
      </c>
      <c r="X41" s="3">
        <v>27</v>
      </c>
      <c r="Y41" s="3">
        <v>5</v>
      </c>
      <c r="Z41" s="3">
        <v>0</v>
      </c>
      <c r="AA41" s="3" t="s">
        <v>9</v>
      </c>
      <c r="AB41" s="3" t="s">
        <v>9</v>
      </c>
      <c r="AC41" s="3">
        <v>22</v>
      </c>
      <c r="AD41" s="3"/>
      <c r="AE41" s="3"/>
      <c r="AF41" s="3"/>
      <c r="AG41" s="3"/>
      <c r="AH41" s="3"/>
      <c r="AI41" s="44">
        <f t="shared" si="5"/>
        <v>210</v>
      </c>
      <c r="AJ41" s="152"/>
    </row>
    <row r="42" spans="1:36" ht="13.5" thickBot="1" x14ac:dyDescent="0.3">
      <c r="A42" s="107"/>
      <c r="B42" s="128"/>
      <c r="C42" s="52" t="s">
        <v>47</v>
      </c>
      <c r="D42" s="67" t="s">
        <v>9</v>
      </c>
      <c r="E42" s="8">
        <v>0</v>
      </c>
      <c r="F42" s="8">
        <v>0</v>
      </c>
      <c r="G42" s="8" t="s">
        <v>9</v>
      </c>
      <c r="H42" s="8">
        <v>1</v>
      </c>
      <c r="I42" s="8">
        <v>0</v>
      </c>
      <c r="J42" s="8">
        <v>0</v>
      </c>
      <c r="K42" s="8">
        <v>0</v>
      </c>
      <c r="L42" s="8">
        <v>0</v>
      </c>
      <c r="M42" s="8" t="s">
        <v>9</v>
      </c>
      <c r="N42" s="8" t="s">
        <v>9</v>
      </c>
      <c r="O42" s="8">
        <v>1</v>
      </c>
      <c r="P42" s="8">
        <v>0</v>
      </c>
      <c r="Q42" s="8">
        <v>0</v>
      </c>
      <c r="R42" s="8">
        <v>1</v>
      </c>
      <c r="S42" s="8">
        <v>0</v>
      </c>
      <c r="T42" s="8">
        <v>0</v>
      </c>
      <c r="U42" s="8" t="s">
        <v>9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 t="s">
        <v>9</v>
      </c>
      <c r="AB42" s="8" t="s">
        <v>9</v>
      </c>
      <c r="AC42" s="8">
        <v>0</v>
      </c>
      <c r="AD42" s="8"/>
      <c r="AE42" s="8"/>
      <c r="AF42" s="8"/>
      <c r="AG42" s="8"/>
      <c r="AH42" s="8"/>
      <c r="AI42" s="8">
        <f t="shared" si="5"/>
        <v>3</v>
      </c>
      <c r="AJ42" s="153"/>
    </row>
    <row r="43" spans="1:36" x14ac:dyDescent="0.25">
      <c r="A43" s="124" t="s">
        <v>85</v>
      </c>
      <c r="B43" s="124" t="s">
        <v>18</v>
      </c>
      <c r="C43" s="49" t="s">
        <v>48</v>
      </c>
      <c r="D43" s="66" t="s">
        <v>9</v>
      </c>
      <c r="E43" s="7">
        <v>1</v>
      </c>
      <c r="F43" s="7" t="s">
        <v>9</v>
      </c>
      <c r="G43" s="7" t="s">
        <v>9</v>
      </c>
      <c r="H43" s="7">
        <v>14</v>
      </c>
      <c r="I43" s="7">
        <v>24</v>
      </c>
      <c r="J43" s="7">
        <v>14</v>
      </c>
      <c r="K43" s="7">
        <v>9</v>
      </c>
      <c r="L43" s="7">
        <v>3</v>
      </c>
      <c r="M43" s="7">
        <v>14</v>
      </c>
      <c r="N43" s="7" t="s">
        <v>9</v>
      </c>
      <c r="O43" s="7">
        <v>0</v>
      </c>
      <c r="P43" s="7">
        <v>0</v>
      </c>
      <c r="Q43" s="7">
        <v>0</v>
      </c>
      <c r="R43" s="7">
        <v>3</v>
      </c>
      <c r="S43" s="7">
        <v>10</v>
      </c>
      <c r="T43" s="7" t="s">
        <v>9</v>
      </c>
      <c r="U43" s="7" t="s">
        <v>9</v>
      </c>
      <c r="V43" s="7">
        <v>10</v>
      </c>
      <c r="W43" s="7">
        <v>9</v>
      </c>
      <c r="X43" s="7">
        <v>20</v>
      </c>
      <c r="Y43" s="7">
        <v>13</v>
      </c>
      <c r="Z43" s="7">
        <v>0</v>
      </c>
      <c r="AA43" s="7">
        <v>1</v>
      </c>
      <c r="AB43" s="7" t="s">
        <v>9</v>
      </c>
      <c r="AC43" s="7">
        <v>17</v>
      </c>
      <c r="AD43" s="7"/>
      <c r="AE43" s="7"/>
      <c r="AF43" s="7"/>
      <c r="AG43" s="7"/>
      <c r="AH43" s="7"/>
      <c r="AI43" s="45">
        <f t="shared" ref="AI43:AI48" si="7">SUM(D43:AH43)</f>
        <v>162</v>
      </c>
      <c r="AJ43" s="154">
        <f t="shared" ref="AJ43" si="8">SUM(AI43:AI48)</f>
        <v>467</v>
      </c>
    </row>
    <row r="44" spans="1:36" x14ac:dyDescent="0.25">
      <c r="A44" s="125"/>
      <c r="B44" s="125"/>
      <c r="C44" s="50" t="s">
        <v>50</v>
      </c>
      <c r="D44" s="64" t="s">
        <v>9</v>
      </c>
      <c r="E44" s="3">
        <v>2</v>
      </c>
      <c r="F44" s="3" t="s">
        <v>9</v>
      </c>
      <c r="G44" s="3" t="s">
        <v>9</v>
      </c>
      <c r="H44" s="14">
        <v>5</v>
      </c>
      <c r="I44" s="3">
        <v>2</v>
      </c>
      <c r="J44" s="3">
        <v>6</v>
      </c>
      <c r="K44" s="3">
        <v>2</v>
      </c>
      <c r="L44" s="3">
        <v>5</v>
      </c>
      <c r="M44" s="14">
        <v>3</v>
      </c>
      <c r="N44" s="14" t="s">
        <v>9</v>
      </c>
      <c r="O44" s="3">
        <v>9</v>
      </c>
      <c r="P44" s="3">
        <v>5</v>
      </c>
      <c r="Q44" s="3">
        <v>2</v>
      </c>
      <c r="R44" s="14">
        <v>3</v>
      </c>
      <c r="S44" s="14">
        <v>3</v>
      </c>
      <c r="T44" s="14" t="s">
        <v>9</v>
      </c>
      <c r="U44" s="14" t="s">
        <v>9</v>
      </c>
      <c r="V44" s="14">
        <v>5</v>
      </c>
      <c r="W44" s="14">
        <v>5</v>
      </c>
      <c r="X44" s="14">
        <v>4</v>
      </c>
      <c r="Y44" s="14">
        <v>7</v>
      </c>
      <c r="Z44" s="14">
        <v>9</v>
      </c>
      <c r="AA44" s="14">
        <v>5</v>
      </c>
      <c r="AB44" s="14" t="s">
        <v>9</v>
      </c>
      <c r="AC44" s="14">
        <v>8</v>
      </c>
      <c r="AD44" s="14"/>
      <c r="AE44" s="14"/>
      <c r="AF44" s="14"/>
      <c r="AG44" s="14"/>
      <c r="AH44" s="14"/>
      <c r="AI44" s="44">
        <f t="shared" si="7"/>
        <v>90</v>
      </c>
      <c r="AJ44" s="151"/>
    </row>
    <row r="45" spans="1:36" x14ac:dyDescent="0.25">
      <c r="A45" s="125"/>
      <c r="B45" s="125"/>
      <c r="C45" s="50" t="s">
        <v>49</v>
      </c>
      <c r="D45" s="64" t="s">
        <v>9</v>
      </c>
      <c r="E45" s="3">
        <v>0</v>
      </c>
      <c r="F45" s="3" t="s">
        <v>9</v>
      </c>
      <c r="G45" s="3" t="s">
        <v>9</v>
      </c>
      <c r="H45" s="14">
        <v>0</v>
      </c>
      <c r="I45" s="3">
        <v>0</v>
      </c>
      <c r="J45" s="3">
        <v>0</v>
      </c>
      <c r="K45" s="3">
        <v>0</v>
      </c>
      <c r="L45" s="3">
        <v>0</v>
      </c>
      <c r="M45" s="14">
        <v>0</v>
      </c>
      <c r="N45" s="14" t="s">
        <v>9</v>
      </c>
      <c r="O45" s="3">
        <v>0</v>
      </c>
      <c r="P45" s="3">
        <v>0</v>
      </c>
      <c r="Q45" s="3">
        <v>0</v>
      </c>
      <c r="R45" s="14">
        <v>0</v>
      </c>
      <c r="S45" s="14">
        <v>0</v>
      </c>
      <c r="T45" s="14" t="s">
        <v>9</v>
      </c>
      <c r="U45" s="14" t="s">
        <v>9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 t="s">
        <v>9</v>
      </c>
      <c r="AC45" s="14">
        <v>0</v>
      </c>
      <c r="AD45" s="14"/>
      <c r="AE45" s="14"/>
      <c r="AF45" s="14"/>
      <c r="AG45" s="14"/>
      <c r="AH45" s="14"/>
      <c r="AI45" s="44">
        <f t="shared" si="7"/>
        <v>0</v>
      </c>
      <c r="AJ45" s="151"/>
    </row>
    <row r="46" spans="1:36" x14ac:dyDescent="0.25">
      <c r="A46" s="125"/>
      <c r="B46" s="126"/>
      <c r="C46" s="50" t="s">
        <v>51</v>
      </c>
      <c r="D46" s="64" t="s">
        <v>9</v>
      </c>
      <c r="E46" s="3">
        <v>1</v>
      </c>
      <c r="F46" s="3" t="s">
        <v>9</v>
      </c>
      <c r="G46" s="3" t="s">
        <v>9</v>
      </c>
      <c r="H46" s="14">
        <v>3</v>
      </c>
      <c r="I46" s="3">
        <v>0</v>
      </c>
      <c r="J46" s="3">
        <v>2</v>
      </c>
      <c r="K46" s="3">
        <v>1</v>
      </c>
      <c r="L46" s="3">
        <v>1</v>
      </c>
      <c r="M46" s="14">
        <v>1</v>
      </c>
      <c r="N46" s="14" t="s">
        <v>9</v>
      </c>
      <c r="O46" s="3">
        <v>4</v>
      </c>
      <c r="P46" s="3">
        <v>4</v>
      </c>
      <c r="Q46" s="3">
        <v>1</v>
      </c>
      <c r="R46" s="14">
        <v>0</v>
      </c>
      <c r="S46" s="14">
        <v>2</v>
      </c>
      <c r="T46" s="14" t="s">
        <v>9</v>
      </c>
      <c r="U46" s="14" t="s">
        <v>9</v>
      </c>
      <c r="V46" s="14">
        <v>0</v>
      </c>
      <c r="W46" s="14">
        <v>0</v>
      </c>
      <c r="X46" s="14">
        <v>1</v>
      </c>
      <c r="Y46" s="14">
        <v>3</v>
      </c>
      <c r="Z46" s="14">
        <v>0</v>
      </c>
      <c r="AA46" s="14">
        <v>1</v>
      </c>
      <c r="AB46" s="14" t="s">
        <v>9</v>
      </c>
      <c r="AC46" s="14">
        <v>4</v>
      </c>
      <c r="AD46" s="14"/>
      <c r="AE46" s="14"/>
      <c r="AF46" s="14"/>
      <c r="AG46" s="14"/>
      <c r="AH46" s="14"/>
      <c r="AI46" s="44">
        <f t="shared" si="7"/>
        <v>29</v>
      </c>
      <c r="AJ46" s="151"/>
    </row>
    <row r="47" spans="1:36" x14ac:dyDescent="0.25">
      <c r="A47" s="125"/>
      <c r="B47" s="127" t="s">
        <v>45</v>
      </c>
      <c r="C47" s="51" t="s">
        <v>46</v>
      </c>
      <c r="D47" s="64" t="s">
        <v>9</v>
      </c>
      <c r="E47" s="3">
        <v>8</v>
      </c>
      <c r="F47" s="3" t="s">
        <v>9</v>
      </c>
      <c r="G47" s="3" t="s">
        <v>9</v>
      </c>
      <c r="H47" s="3">
        <v>15</v>
      </c>
      <c r="I47" s="3">
        <v>25</v>
      </c>
      <c r="J47" s="3">
        <v>12</v>
      </c>
      <c r="K47" s="3">
        <v>4</v>
      </c>
      <c r="L47" s="3">
        <v>9</v>
      </c>
      <c r="M47" s="3">
        <v>9</v>
      </c>
      <c r="N47" s="3" t="s">
        <v>9</v>
      </c>
      <c r="O47" s="3">
        <v>10</v>
      </c>
      <c r="P47" s="3">
        <v>6</v>
      </c>
      <c r="Q47" s="3">
        <v>5</v>
      </c>
      <c r="R47" s="3">
        <v>8</v>
      </c>
      <c r="S47" s="3">
        <v>9</v>
      </c>
      <c r="T47" s="3" t="s">
        <v>9</v>
      </c>
      <c r="U47" s="3" t="s">
        <v>9</v>
      </c>
      <c r="V47" s="3">
        <v>3</v>
      </c>
      <c r="W47" s="3">
        <v>4</v>
      </c>
      <c r="X47" s="3">
        <v>28</v>
      </c>
      <c r="Y47" s="3">
        <v>11</v>
      </c>
      <c r="Z47" s="3">
        <v>7</v>
      </c>
      <c r="AA47" s="3">
        <v>6</v>
      </c>
      <c r="AB47" s="3" t="s">
        <v>9</v>
      </c>
      <c r="AC47" s="3">
        <v>6</v>
      </c>
      <c r="AD47" s="3"/>
      <c r="AE47" s="3"/>
      <c r="AF47" s="3"/>
      <c r="AG47" s="3"/>
      <c r="AH47" s="3"/>
      <c r="AI47" s="44">
        <f t="shared" si="7"/>
        <v>185</v>
      </c>
      <c r="AJ47" s="152"/>
    </row>
    <row r="48" spans="1:36" ht="13.5" thickBot="1" x14ac:dyDescent="0.3">
      <c r="A48" s="128"/>
      <c r="B48" s="128"/>
      <c r="C48" s="52" t="s">
        <v>47</v>
      </c>
      <c r="D48" s="67" t="s">
        <v>9</v>
      </c>
      <c r="E48" s="8">
        <v>0</v>
      </c>
      <c r="F48" s="8" t="s">
        <v>9</v>
      </c>
      <c r="G48" s="8" t="s">
        <v>9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 t="s">
        <v>9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 t="s">
        <v>9</v>
      </c>
      <c r="U48" s="8" t="s">
        <v>9</v>
      </c>
      <c r="V48" s="8">
        <v>0</v>
      </c>
      <c r="W48" s="8">
        <v>0</v>
      </c>
      <c r="X48" s="8">
        <v>0</v>
      </c>
      <c r="Y48" s="8">
        <v>0</v>
      </c>
      <c r="Z48" s="8">
        <v>1</v>
      </c>
      <c r="AA48" s="8">
        <v>0</v>
      </c>
      <c r="AB48" s="8" t="s">
        <v>9</v>
      </c>
      <c r="AC48" s="8">
        <v>0</v>
      </c>
      <c r="AD48" s="8"/>
      <c r="AE48" s="8"/>
      <c r="AF48" s="8"/>
      <c r="AG48" s="8"/>
      <c r="AH48" s="8"/>
      <c r="AI48" s="46">
        <f t="shared" si="7"/>
        <v>1</v>
      </c>
      <c r="AJ48" s="153"/>
    </row>
    <row r="49" spans="1:36" x14ac:dyDescent="0.25">
      <c r="A49" s="124" t="s">
        <v>52</v>
      </c>
      <c r="B49" s="124" t="s">
        <v>18</v>
      </c>
      <c r="C49" s="49" t="s">
        <v>48</v>
      </c>
      <c r="D49" s="7" t="s">
        <v>9</v>
      </c>
      <c r="E49" s="7">
        <v>28</v>
      </c>
      <c r="F49" s="7" t="s">
        <v>9</v>
      </c>
      <c r="G49" s="7" t="s">
        <v>9</v>
      </c>
      <c r="H49" s="7">
        <v>9</v>
      </c>
      <c r="I49" s="7">
        <v>21</v>
      </c>
      <c r="J49" s="7">
        <v>3</v>
      </c>
      <c r="K49" s="7">
        <v>14</v>
      </c>
      <c r="L49" s="7">
        <v>6</v>
      </c>
      <c r="M49" s="7">
        <v>0</v>
      </c>
      <c r="N49" s="7" t="s">
        <v>9</v>
      </c>
      <c r="O49" s="7" t="s">
        <v>30</v>
      </c>
      <c r="P49" s="7">
        <v>0</v>
      </c>
      <c r="Q49" s="7">
        <v>5</v>
      </c>
      <c r="R49" s="7" t="s">
        <v>9</v>
      </c>
      <c r="S49" s="7">
        <v>3</v>
      </c>
      <c r="T49" s="7" t="s">
        <v>9</v>
      </c>
      <c r="U49" s="7" t="s">
        <v>9</v>
      </c>
      <c r="V49" s="7">
        <v>8</v>
      </c>
      <c r="W49" s="7">
        <v>12</v>
      </c>
      <c r="X49" s="7">
        <v>9</v>
      </c>
      <c r="Y49" s="7">
        <v>6</v>
      </c>
      <c r="Z49" s="7">
        <v>9</v>
      </c>
      <c r="AA49" s="7">
        <v>0</v>
      </c>
      <c r="AB49" s="7" t="s">
        <v>9</v>
      </c>
      <c r="AC49" s="7">
        <v>6</v>
      </c>
      <c r="AD49" s="7"/>
      <c r="AE49" s="7"/>
      <c r="AF49" s="7"/>
      <c r="AG49" s="7"/>
      <c r="AH49" s="7"/>
      <c r="AI49" s="54">
        <f t="shared" si="2"/>
        <v>139</v>
      </c>
      <c r="AJ49" s="154">
        <f>SUM(AI49:AI54)</f>
        <v>342</v>
      </c>
    </row>
    <row r="50" spans="1:36" x14ac:dyDescent="0.25">
      <c r="A50" s="125"/>
      <c r="B50" s="125"/>
      <c r="C50" s="50" t="s">
        <v>50</v>
      </c>
      <c r="D50" s="14" t="s">
        <v>9</v>
      </c>
      <c r="E50" s="14">
        <v>9</v>
      </c>
      <c r="F50" s="14" t="s">
        <v>9</v>
      </c>
      <c r="G50" s="14" t="s">
        <v>9</v>
      </c>
      <c r="H50" s="14">
        <v>13</v>
      </c>
      <c r="I50" s="14">
        <v>6</v>
      </c>
      <c r="J50" s="14">
        <v>12</v>
      </c>
      <c r="K50" s="14">
        <v>5</v>
      </c>
      <c r="L50" s="14">
        <v>7</v>
      </c>
      <c r="M50" s="14">
        <v>9</v>
      </c>
      <c r="N50" s="14" t="s">
        <v>9</v>
      </c>
      <c r="O50" s="14" t="s">
        <v>30</v>
      </c>
      <c r="P50" s="14">
        <v>9</v>
      </c>
      <c r="Q50" s="14">
        <v>4</v>
      </c>
      <c r="R50" s="14" t="s">
        <v>9</v>
      </c>
      <c r="S50" s="14">
        <v>2</v>
      </c>
      <c r="T50" s="14" t="s">
        <v>9</v>
      </c>
      <c r="U50" s="14" t="s">
        <v>9</v>
      </c>
      <c r="V50" s="14">
        <v>3</v>
      </c>
      <c r="W50" s="14">
        <v>2</v>
      </c>
      <c r="X50" s="14">
        <v>4</v>
      </c>
      <c r="Y50" s="14">
        <v>0</v>
      </c>
      <c r="Z50" s="14">
        <v>2</v>
      </c>
      <c r="AA50" s="14">
        <v>2</v>
      </c>
      <c r="AB50" s="14" t="s">
        <v>9</v>
      </c>
      <c r="AC50" s="14">
        <v>6</v>
      </c>
      <c r="AD50" s="14"/>
      <c r="AE50" s="14"/>
      <c r="AF50" s="14"/>
      <c r="AG50" s="14"/>
      <c r="AH50" s="14"/>
      <c r="AI50" s="55">
        <f t="shared" si="2"/>
        <v>95</v>
      </c>
      <c r="AJ50" s="151"/>
    </row>
    <row r="51" spans="1:36" x14ac:dyDescent="0.25">
      <c r="A51" s="125"/>
      <c r="B51" s="125"/>
      <c r="C51" s="50" t="s">
        <v>49</v>
      </c>
      <c r="D51" s="14" t="s">
        <v>9</v>
      </c>
      <c r="E51" s="14">
        <v>0</v>
      </c>
      <c r="F51" s="14" t="s">
        <v>9</v>
      </c>
      <c r="G51" s="14" t="s">
        <v>9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 t="s">
        <v>9</v>
      </c>
      <c r="O51" s="14" t="s">
        <v>30</v>
      </c>
      <c r="P51" s="14">
        <v>0</v>
      </c>
      <c r="Q51" s="14">
        <v>0</v>
      </c>
      <c r="R51" s="14" t="s">
        <v>9</v>
      </c>
      <c r="S51" s="14">
        <v>0</v>
      </c>
      <c r="T51" s="14" t="s">
        <v>9</v>
      </c>
      <c r="U51" s="14" t="s">
        <v>9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 t="s">
        <v>9</v>
      </c>
      <c r="AC51" s="14">
        <v>0</v>
      </c>
      <c r="AD51" s="14"/>
      <c r="AE51" s="14"/>
      <c r="AF51" s="14"/>
      <c r="AG51" s="14"/>
      <c r="AH51" s="14"/>
      <c r="AI51" s="55">
        <f t="shared" si="2"/>
        <v>0</v>
      </c>
      <c r="AJ51" s="151"/>
    </row>
    <row r="52" spans="1:36" x14ac:dyDescent="0.25">
      <c r="A52" s="125"/>
      <c r="B52" s="126"/>
      <c r="C52" s="50" t="s">
        <v>51</v>
      </c>
      <c r="D52" s="14" t="s">
        <v>9</v>
      </c>
      <c r="E52" s="14">
        <v>4</v>
      </c>
      <c r="F52" s="14" t="s">
        <v>9</v>
      </c>
      <c r="G52" s="14" t="s">
        <v>9</v>
      </c>
      <c r="H52" s="14">
        <v>3</v>
      </c>
      <c r="I52" s="14">
        <v>0</v>
      </c>
      <c r="J52" s="14">
        <v>1</v>
      </c>
      <c r="K52" s="14">
        <v>2</v>
      </c>
      <c r="L52" s="14">
        <v>2</v>
      </c>
      <c r="M52" s="14">
        <v>0</v>
      </c>
      <c r="N52" s="14" t="s">
        <v>9</v>
      </c>
      <c r="O52" s="14" t="s">
        <v>30</v>
      </c>
      <c r="P52" s="14">
        <v>1</v>
      </c>
      <c r="Q52" s="14">
        <v>2</v>
      </c>
      <c r="R52" s="14" t="s">
        <v>9</v>
      </c>
      <c r="S52" s="14">
        <v>3</v>
      </c>
      <c r="T52" s="14" t="s">
        <v>9</v>
      </c>
      <c r="U52" s="14" t="s">
        <v>9</v>
      </c>
      <c r="V52" s="14">
        <v>1</v>
      </c>
      <c r="W52" s="14">
        <v>0</v>
      </c>
      <c r="X52" s="14">
        <v>1</v>
      </c>
      <c r="Y52" s="14">
        <v>1</v>
      </c>
      <c r="Z52" s="14">
        <v>1</v>
      </c>
      <c r="AA52" s="14">
        <v>2</v>
      </c>
      <c r="AB52" s="14" t="s">
        <v>9</v>
      </c>
      <c r="AC52" s="14">
        <v>1</v>
      </c>
      <c r="AD52" s="14"/>
      <c r="AE52" s="14"/>
      <c r="AF52" s="14"/>
      <c r="AG52" s="14"/>
      <c r="AH52" s="14"/>
      <c r="AI52" s="55">
        <f t="shared" si="2"/>
        <v>25</v>
      </c>
      <c r="AJ52" s="151"/>
    </row>
    <row r="53" spans="1:36" x14ac:dyDescent="0.25">
      <c r="A53" s="125"/>
      <c r="B53" s="127" t="s">
        <v>45</v>
      </c>
      <c r="C53" s="51" t="s">
        <v>46</v>
      </c>
      <c r="D53" s="3" t="s">
        <v>9</v>
      </c>
      <c r="E53" s="3">
        <v>10</v>
      </c>
      <c r="F53" s="3" t="s">
        <v>9</v>
      </c>
      <c r="G53" s="3" t="s">
        <v>9</v>
      </c>
      <c r="H53" s="14">
        <v>4</v>
      </c>
      <c r="I53" s="3">
        <v>5</v>
      </c>
      <c r="J53" s="3">
        <v>6</v>
      </c>
      <c r="K53" s="3">
        <v>3</v>
      </c>
      <c r="L53" s="3">
        <v>3</v>
      </c>
      <c r="M53" s="3">
        <v>3</v>
      </c>
      <c r="N53" s="3" t="s">
        <v>9</v>
      </c>
      <c r="O53" s="3" t="s">
        <v>30</v>
      </c>
      <c r="P53" s="3">
        <v>2</v>
      </c>
      <c r="Q53" s="3">
        <v>5</v>
      </c>
      <c r="R53" s="3" t="s">
        <v>9</v>
      </c>
      <c r="S53" s="3">
        <v>6</v>
      </c>
      <c r="T53" s="3" t="s">
        <v>9</v>
      </c>
      <c r="U53" s="3" t="s">
        <v>9</v>
      </c>
      <c r="V53" s="3">
        <v>4</v>
      </c>
      <c r="W53" s="3">
        <v>2</v>
      </c>
      <c r="X53" s="3">
        <v>4</v>
      </c>
      <c r="Y53" s="3">
        <v>2</v>
      </c>
      <c r="Z53" s="3">
        <v>1</v>
      </c>
      <c r="AA53" s="3">
        <v>7</v>
      </c>
      <c r="AB53" s="3" t="s">
        <v>9</v>
      </c>
      <c r="AC53" s="3">
        <v>4</v>
      </c>
      <c r="AD53" s="3"/>
      <c r="AE53" s="3"/>
      <c r="AF53" s="3"/>
      <c r="AG53" s="3"/>
      <c r="AH53" s="3"/>
      <c r="AI53" s="55">
        <f t="shared" si="2"/>
        <v>71</v>
      </c>
      <c r="AJ53" s="152"/>
    </row>
    <row r="54" spans="1:36" ht="13.5" thickBot="1" x14ac:dyDescent="0.3">
      <c r="A54" s="128"/>
      <c r="B54" s="128"/>
      <c r="C54" s="52" t="s">
        <v>47</v>
      </c>
      <c r="D54" s="8" t="s">
        <v>9</v>
      </c>
      <c r="E54" s="8">
        <v>0</v>
      </c>
      <c r="F54" s="8" t="s">
        <v>9</v>
      </c>
      <c r="G54" s="8" t="s">
        <v>9</v>
      </c>
      <c r="H54" s="36">
        <v>0</v>
      </c>
      <c r="I54" s="8">
        <v>3</v>
      </c>
      <c r="J54" s="8">
        <v>2</v>
      </c>
      <c r="K54" s="8">
        <v>2</v>
      </c>
      <c r="L54" s="8">
        <v>0</v>
      </c>
      <c r="M54" s="8">
        <v>0</v>
      </c>
      <c r="N54" s="8" t="s">
        <v>9</v>
      </c>
      <c r="O54" s="8" t="s">
        <v>30</v>
      </c>
      <c r="P54" s="8">
        <v>0</v>
      </c>
      <c r="Q54" s="8">
        <v>1</v>
      </c>
      <c r="R54" s="8" t="s">
        <v>9</v>
      </c>
      <c r="S54" s="8">
        <v>1</v>
      </c>
      <c r="T54" s="8" t="s">
        <v>9</v>
      </c>
      <c r="U54" s="8" t="s">
        <v>9</v>
      </c>
      <c r="V54" s="8">
        <v>0</v>
      </c>
      <c r="W54" s="8">
        <v>0</v>
      </c>
      <c r="X54" s="8">
        <v>1</v>
      </c>
      <c r="Y54" s="8">
        <v>1</v>
      </c>
      <c r="Z54" s="8">
        <v>1</v>
      </c>
      <c r="AA54" s="8">
        <v>0</v>
      </c>
      <c r="AB54" s="8" t="s">
        <v>9</v>
      </c>
      <c r="AC54" s="8">
        <v>0</v>
      </c>
      <c r="AD54" s="8"/>
      <c r="AE54" s="8"/>
      <c r="AF54" s="8"/>
      <c r="AG54" s="8"/>
      <c r="AH54" s="8"/>
      <c r="AI54" s="56">
        <f t="shared" si="2"/>
        <v>12</v>
      </c>
      <c r="AJ54" s="153"/>
    </row>
    <row r="55" spans="1:36" x14ac:dyDescent="0.25">
      <c r="A55" s="89" t="s">
        <v>72</v>
      </c>
      <c r="B55" s="124" t="s">
        <v>18</v>
      </c>
      <c r="C55" s="49" t="s">
        <v>48</v>
      </c>
      <c r="D55" s="7" t="s">
        <v>9</v>
      </c>
      <c r="E55" s="7">
        <v>15</v>
      </c>
      <c r="F55" s="7">
        <v>3</v>
      </c>
      <c r="G55" s="7" t="s">
        <v>9</v>
      </c>
      <c r="H55" s="7">
        <v>0</v>
      </c>
      <c r="I55" s="7">
        <v>12</v>
      </c>
      <c r="J55" s="7">
        <v>13</v>
      </c>
      <c r="K55" s="7">
        <v>7</v>
      </c>
      <c r="L55" s="7">
        <v>14</v>
      </c>
      <c r="M55" s="7">
        <v>1</v>
      </c>
      <c r="N55" s="7" t="s">
        <v>9</v>
      </c>
      <c r="O55" s="7">
        <v>10</v>
      </c>
      <c r="P55" s="7">
        <v>0</v>
      </c>
      <c r="Q55" s="7">
        <v>1</v>
      </c>
      <c r="R55" s="7">
        <v>0</v>
      </c>
      <c r="S55" s="7">
        <v>0</v>
      </c>
      <c r="T55" s="7">
        <v>0</v>
      </c>
      <c r="U55" s="7" t="s">
        <v>9</v>
      </c>
      <c r="V55" s="7">
        <v>2</v>
      </c>
      <c r="W55" s="7">
        <v>5</v>
      </c>
      <c r="X55" s="7">
        <v>23</v>
      </c>
      <c r="Y55" s="7">
        <v>12</v>
      </c>
      <c r="Z55" s="7">
        <v>0</v>
      </c>
      <c r="AA55" s="7">
        <v>0</v>
      </c>
      <c r="AB55" s="7" t="s">
        <v>9</v>
      </c>
      <c r="AC55" s="7">
        <v>5</v>
      </c>
      <c r="AD55" s="7"/>
      <c r="AE55" s="7"/>
      <c r="AF55" s="7"/>
      <c r="AG55" s="7"/>
      <c r="AH55" s="7"/>
      <c r="AI55" s="54">
        <f t="shared" ref="AI55:AI60" si="9">SUM(D55:AH55)</f>
        <v>123</v>
      </c>
      <c r="AJ55" s="154">
        <f t="shared" ref="AJ55" si="10">SUM(AI55:AI60)</f>
        <v>203</v>
      </c>
    </row>
    <row r="56" spans="1:36" x14ac:dyDescent="0.25">
      <c r="A56" s="121"/>
      <c r="B56" s="125"/>
      <c r="C56" s="50" t="s">
        <v>50</v>
      </c>
      <c r="D56" s="14" t="s">
        <v>9</v>
      </c>
      <c r="E56" s="14">
        <v>1</v>
      </c>
      <c r="F56" s="14">
        <v>2</v>
      </c>
      <c r="G56" s="14" t="s">
        <v>9</v>
      </c>
      <c r="H56" s="14">
        <v>0</v>
      </c>
      <c r="I56" s="14">
        <v>1</v>
      </c>
      <c r="J56" s="14">
        <v>3</v>
      </c>
      <c r="K56" s="14">
        <v>0</v>
      </c>
      <c r="L56" s="14">
        <v>1</v>
      </c>
      <c r="M56" s="14">
        <v>0</v>
      </c>
      <c r="N56" s="14" t="s">
        <v>9</v>
      </c>
      <c r="O56" s="14">
        <v>3</v>
      </c>
      <c r="P56" s="14">
        <v>0</v>
      </c>
      <c r="Q56" s="14">
        <v>0</v>
      </c>
      <c r="R56" s="14">
        <v>1</v>
      </c>
      <c r="S56" s="14">
        <v>1</v>
      </c>
      <c r="T56" s="14">
        <v>0</v>
      </c>
      <c r="U56" s="14" t="s">
        <v>9</v>
      </c>
      <c r="V56" s="14">
        <v>1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 t="s">
        <v>9</v>
      </c>
      <c r="AC56" s="14">
        <v>0</v>
      </c>
      <c r="AD56" s="14"/>
      <c r="AE56" s="14"/>
      <c r="AF56" s="14"/>
      <c r="AG56" s="14"/>
      <c r="AH56" s="14"/>
      <c r="AI56" s="55">
        <f t="shared" si="9"/>
        <v>14</v>
      </c>
      <c r="AJ56" s="151"/>
    </row>
    <row r="57" spans="1:36" x14ac:dyDescent="0.25">
      <c r="A57" s="121"/>
      <c r="B57" s="125"/>
      <c r="C57" s="50" t="s">
        <v>49</v>
      </c>
      <c r="D57" s="14" t="s">
        <v>9</v>
      </c>
      <c r="E57" s="14">
        <v>0</v>
      </c>
      <c r="F57" s="14">
        <v>0</v>
      </c>
      <c r="G57" s="14" t="s">
        <v>9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 t="s">
        <v>9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 t="s">
        <v>9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 t="s">
        <v>9</v>
      </c>
      <c r="AC57" s="14">
        <v>0</v>
      </c>
      <c r="AD57" s="14"/>
      <c r="AE57" s="14"/>
      <c r="AF57" s="14"/>
      <c r="AG57" s="14"/>
      <c r="AH57" s="14"/>
      <c r="AI57" s="55">
        <f t="shared" si="9"/>
        <v>0</v>
      </c>
      <c r="AJ57" s="151"/>
    </row>
    <row r="58" spans="1:36" x14ac:dyDescent="0.25">
      <c r="A58" s="121"/>
      <c r="B58" s="126"/>
      <c r="C58" s="50" t="s">
        <v>51</v>
      </c>
      <c r="D58" s="14" t="s">
        <v>9</v>
      </c>
      <c r="E58" s="14">
        <v>0</v>
      </c>
      <c r="F58" s="14">
        <v>0</v>
      </c>
      <c r="G58" s="14" t="s">
        <v>9</v>
      </c>
      <c r="H58" s="14">
        <v>0</v>
      </c>
      <c r="I58" s="14">
        <v>1</v>
      </c>
      <c r="J58" s="14">
        <v>0</v>
      </c>
      <c r="K58" s="14">
        <v>0</v>
      </c>
      <c r="L58" s="14">
        <v>0</v>
      </c>
      <c r="M58" s="14">
        <v>1</v>
      </c>
      <c r="N58" s="14" t="s">
        <v>9</v>
      </c>
      <c r="O58" s="14">
        <v>2</v>
      </c>
      <c r="P58" s="14">
        <v>2</v>
      </c>
      <c r="Q58" s="14">
        <v>0</v>
      </c>
      <c r="R58" s="14">
        <v>0</v>
      </c>
      <c r="S58" s="14">
        <v>1</v>
      </c>
      <c r="T58" s="14">
        <v>0</v>
      </c>
      <c r="U58" s="14" t="s">
        <v>9</v>
      </c>
      <c r="V58" s="14">
        <v>0</v>
      </c>
      <c r="W58" s="14">
        <v>4</v>
      </c>
      <c r="X58" s="14">
        <v>0</v>
      </c>
      <c r="Y58" s="14">
        <v>0</v>
      </c>
      <c r="Z58" s="14">
        <v>0</v>
      </c>
      <c r="AA58" s="14">
        <v>0</v>
      </c>
      <c r="AB58" s="14" t="s">
        <v>9</v>
      </c>
      <c r="AC58" s="14">
        <v>0</v>
      </c>
      <c r="AD58" s="14"/>
      <c r="AE58" s="14"/>
      <c r="AF58" s="14"/>
      <c r="AG58" s="14"/>
      <c r="AH58" s="14"/>
      <c r="AI58" s="55">
        <f t="shared" si="9"/>
        <v>11</v>
      </c>
      <c r="AJ58" s="151"/>
    </row>
    <row r="59" spans="1:36" x14ac:dyDescent="0.25">
      <c r="A59" s="90"/>
      <c r="B59" s="127" t="s">
        <v>45</v>
      </c>
      <c r="C59" s="51" t="s">
        <v>46</v>
      </c>
      <c r="D59" s="3" t="s">
        <v>9</v>
      </c>
      <c r="E59" s="3">
        <v>3</v>
      </c>
      <c r="F59" s="3">
        <v>0</v>
      </c>
      <c r="G59" s="3" t="s">
        <v>9</v>
      </c>
      <c r="H59" s="3">
        <v>1</v>
      </c>
      <c r="I59" s="3">
        <v>3</v>
      </c>
      <c r="J59" s="3">
        <v>5</v>
      </c>
      <c r="K59" s="3">
        <v>2</v>
      </c>
      <c r="L59" s="3">
        <v>3</v>
      </c>
      <c r="M59" s="3">
        <v>0</v>
      </c>
      <c r="N59" s="3" t="s">
        <v>9</v>
      </c>
      <c r="O59" s="3">
        <v>5</v>
      </c>
      <c r="P59" s="3">
        <v>3</v>
      </c>
      <c r="Q59" s="3">
        <v>2</v>
      </c>
      <c r="R59" s="3">
        <v>2</v>
      </c>
      <c r="S59" s="3">
        <v>7</v>
      </c>
      <c r="T59" s="3">
        <v>2</v>
      </c>
      <c r="U59" s="3" t="s">
        <v>9</v>
      </c>
      <c r="V59" s="3">
        <v>2</v>
      </c>
      <c r="W59" s="3">
        <v>1</v>
      </c>
      <c r="X59" s="3">
        <v>9</v>
      </c>
      <c r="Y59" s="3">
        <v>0</v>
      </c>
      <c r="Z59" s="3">
        <v>2</v>
      </c>
      <c r="AA59" s="3">
        <v>0</v>
      </c>
      <c r="AB59" s="3" t="s">
        <v>9</v>
      </c>
      <c r="AC59" s="3">
        <v>3</v>
      </c>
      <c r="AD59" s="3"/>
      <c r="AE59" s="3"/>
      <c r="AF59" s="3"/>
      <c r="AG59" s="3"/>
      <c r="AH59" s="3"/>
      <c r="AI59" s="55">
        <f t="shared" si="9"/>
        <v>55</v>
      </c>
      <c r="AJ59" s="152"/>
    </row>
    <row r="60" spans="1:36" ht="13.5" thickBot="1" x14ac:dyDescent="0.3">
      <c r="A60" s="91"/>
      <c r="B60" s="128"/>
      <c r="C60" s="52" t="s">
        <v>47</v>
      </c>
      <c r="D60" s="8" t="s">
        <v>9</v>
      </c>
      <c r="E60" s="8">
        <v>0</v>
      </c>
      <c r="F60" s="8">
        <v>0</v>
      </c>
      <c r="G60" s="8" t="s">
        <v>9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 t="s">
        <v>9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 t="s">
        <v>9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 t="s">
        <v>9</v>
      </c>
      <c r="AC60" s="8">
        <v>0</v>
      </c>
      <c r="AD60" s="8"/>
      <c r="AE60" s="8"/>
      <c r="AF60" s="8"/>
      <c r="AG60" s="8"/>
      <c r="AH60" s="8"/>
      <c r="AI60" s="56">
        <f t="shared" si="9"/>
        <v>0</v>
      </c>
      <c r="AJ60" s="153"/>
    </row>
    <row r="61" spans="1:36" ht="15" customHeight="1" x14ac:dyDescent="0.25">
      <c r="A61" s="129" t="s">
        <v>65</v>
      </c>
      <c r="B61" s="124" t="s">
        <v>18</v>
      </c>
      <c r="C61" s="49" t="s">
        <v>48</v>
      </c>
      <c r="D61" s="7" t="s">
        <v>9</v>
      </c>
      <c r="E61" s="7">
        <v>1</v>
      </c>
      <c r="F61" s="7" t="s">
        <v>9</v>
      </c>
      <c r="G61" s="7" t="s">
        <v>9</v>
      </c>
      <c r="H61" s="7">
        <v>0</v>
      </c>
      <c r="I61" s="7">
        <v>16</v>
      </c>
      <c r="J61" s="7" t="s">
        <v>89</v>
      </c>
      <c r="K61" s="7" t="s">
        <v>29</v>
      </c>
      <c r="L61" s="7" t="s">
        <v>29</v>
      </c>
      <c r="M61" s="7" t="s">
        <v>29</v>
      </c>
      <c r="N61" s="7" t="s">
        <v>29</v>
      </c>
      <c r="O61" s="7" t="s">
        <v>29</v>
      </c>
      <c r="P61" s="7" t="s">
        <v>29</v>
      </c>
      <c r="Q61" s="20" t="s">
        <v>29</v>
      </c>
      <c r="R61" s="7" t="s">
        <v>29</v>
      </c>
      <c r="S61" s="7" t="s">
        <v>29</v>
      </c>
      <c r="T61" s="7" t="s">
        <v>29</v>
      </c>
      <c r="U61" s="7" t="s">
        <v>29</v>
      </c>
      <c r="V61" s="7" t="s">
        <v>29</v>
      </c>
      <c r="W61" s="7" t="s">
        <v>29</v>
      </c>
      <c r="X61" s="7" t="s">
        <v>29</v>
      </c>
      <c r="Y61" s="7" t="s">
        <v>29</v>
      </c>
      <c r="Z61" s="7" t="s">
        <v>29</v>
      </c>
      <c r="AA61" s="7" t="s">
        <v>29</v>
      </c>
      <c r="AB61" s="7" t="s">
        <v>29</v>
      </c>
      <c r="AC61" s="7" t="s">
        <v>29</v>
      </c>
      <c r="AD61" s="7" t="s">
        <v>29</v>
      </c>
      <c r="AE61" s="7" t="s">
        <v>29</v>
      </c>
      <c r="AF61" s="7" t="s">
        <v>29</v>
      </c>
      <c r="AG61" s="7" t="s">
        <v>29</v>
      </c>
      <c r="AH61" s="7" t="s">
        <v>29</v>
      </c>
      <c r="AI61" s="57">
        <f t="shared" ref="AI61:AI66" si="11">SUM(D61:AH61)</f>
        <v>17</v>
      </c>
      <c r="AJ61" s="154">
        <f>SUM(AI61:AI66)</f>
        <v>50</v>
      </c>
    </row>
    <row r="62" spans="1:36" x14ac:dyDescent="0.25">
      <c r="A62" s="126"/>
      <c r="B62" s="125"/>
      <c r="C62" s="50" t="s">
        <v>50</v>
      </c>
      <c r="D62" s="14" t="s">
        <v>9</v>
      </c>
      <c r="E62" s="14">
        <v>8</v>
      </c>
      <c r="F62" s="3" t="s">
        <v>9</v>
      </c>
      <c r="G62" s="3" t="s">
        <v>9</v>
      </c>
      <c r="H62" s="14">
        <v>4</v>
      </c>
      <c r="I62" s="14">
        <v>0</v>
      </c>
      <c r="J62" s="14" t="s">
        <v>29</v>
      </c>
      <c r="K62" s="14" t="s">
        <v>29</v>
      </c>
      <c r="L62" s="14" t="s">
        <v>29</v>
      </c>
      <c r="M62" s="3" t="s">
        <v>29</v>
      </c>
      <c r="N62" s="14" t="s">
        <v>29</v>
      </c>
      <c r="O62" s="14" t="s">
        <v>29</v>
      </c>
      <c r="P62" s="3" t="s">
        <v>29</v>
      </c>
      <c r="Q62" s="22" t="s">
        <v>29</v>
      </c>
      <c r="R62" s="14" t="s">
        <v>29</v>
      </c>
      <c r="S62" s="14" t="s">
        <v>29</v>
      </c>
      <c r="T62" s="14" t="s">
        <v>29</v>
      </c>
      <c r="U62" s="14" t="s">
        <v>29</v>
      </c>
      <c r="V62" s="14" t="s">
        <v>29</v>
      </c>
      <c r="W62" s="14" t="s">
        <v>29</v>
      </c>
      <c r="X62" s="14" t="s">
        <v>29</v>
      </c>
      <c r="Y62" s="14" t="s">
        <v>29</v>
      </c>
      <c r="Z62" s="3" t="s">
        <v>29</v>
      </c>
      <c r="AA62" s="14" t="s">
        <v>29</v>
      </c>
      <c r="AB62" s="14" t="s">
        <v>29</v>
      </c>
      <c r="AC62" s="14" t="s">
        <v>29</v>
      </c>
      <c r="AD62" s="14" t="s">
        <v>29</v>
      </c>
      <c r="AE62" s="14" t="s">
        <v>29</v>
      </c>
      <c r="AF62" s="14" t="s">
        <v>29</v>
      </c>
      <c r="AG62" s="14" t="s">
        <v>29</v>
      </c>
      <c r="AH62" s="14" t="s">
        <v>29</v>
      </c>
      <c r="AI62" s="48">
        <f t="shared" si="11"/>
        <v>12</v>
      </c>
      <c r="AJ62" s="151"/>
    </row>
    <row r="63" spans="1:36" x14ac:dyDescent="0.25">
      <c r="A63" s="126"/>
      <c r="B63" s="125"/>
      <c r="C63" s="50" t="s">
        <v>49</v>
      </c>
      <c r="D63" s="14" t="s">
        <v>9</v>
      </c>
      <c r="E63" s="14">
        <v>0</v>
      </c>
      <c r="F63" s="3" t="s">
        <v>9</v>
      </c>
      <c r="G63" s="3" t="s">
        <v>9</v>
      </c>
      <c r="H63" s="14">
        <v>0</v>
      </c>
      <c r="I63" s="14">
        <v>0</v>
      </c>
      <c r="J63" s="14" t="s">
        <v>29</v>
      </c>
      <c r="K63" s="14" t="s">
        <v>29</v>
      </c>
      <c r="L63" s="14" t="s">
        <v>29</v>
      </c>
      <c r="M63" s="3" t="s">
        <v>29</v>
      </c>
      <c r="N63" s="14" t="s">
        <v>29</v>
      </c>
      <c r="O63" s="14" t="s">
        <v>29</v>
      </c>
      <c r="P63" s="3" t="s">
        <v>29</v>
      </c>
      <c r="Q63" s="22" t="s">
        <v>29</v>
      </c>
      <c r="R63" s="14" t="s">
        <v>29</v>
      </c>
      <c r="S63" s="14" t="s">
        <v>29</v>
      </c>
      <c r="T63" s="14" t="s">
        <v>29</v>
      </c>
      <c r="U63" s="14" t="s">
        <v>29</v>
      </c>
      <c r="V63" s="14" t="s">
        <v>29</v>
      </c>
      <c r="W63" s="14" t="s">
        <v>29</v>
      </c>
      <c r="X63" s="14" t="s">
        <v>29</v>
      </c>
      <c r="Y63" s="14" t="s">
        <v>29</v>
      </c>
      <c r="Z63" s="3" t="s">
        <v>29</v>
      </c>
      <c r="AA63" s="14" t="s">
        <v>29</v>
      </c>
      <c r="AB63" s="14" t="s">
        <v>29</v>
      </c>
      <c r="AC63" s="14" t="s">
        <v>29</v>
      </c>
      <c r="AD63" s="14" t="s">
        <v>29</v>
      </c>
      <c r="AE63" s="14" t="s">
        <v>29</v>
      </c>
      <c r="AF63" s="14" t="s">
        <v>29</v>
      </c>
      <c r="AG63" s="14" t="s">
        <v>29</v>
      </c>
      <c r="AH63" s="14" t="s">
        <v>29</v>
      </c>
      <c r="AI63" s="48">
        <f t="shared" si="11"/>
        <v>0</v>
      </c>
      <c r="AJ63" s="151"/>
    </row>
    <row r="64" spans="1:36" x14ac:dyDescent="0.25">
      <c r="A64" s="126"/>
      <c r="B64" s="126"/>
      <c r="C64" s="50" t="s">
        <v>51</v>
      </c>
      <c r="D64" s="14" t="s">
        <v>9</v>
      </c>
      <c r="E64" s="14">
        <v>1</v>
      </c>
      <c r="F64" s="3" t="s">
        <v>9</v>
      </c>
      <c r="G64" s="3" t="s">
        <v>9</v>
      </c>
      <c r="H64" s="14">
        <v>0</v>
      </c>
      <c r="I64" s="14">
        <v>0</v>
      </c>
      <c r="J64" s="14" t="s">
        <v>29</v>
      </c>
      <c r="K64" s="14" t="s">
        <v>29</v>
      </c>
      <c r="L64" s="14" t="s">
        <v>29</v>
      </c>
      <c r="M64" s="3" t="s">
        <v>29</v>
      </c>
      <c r="N64" s="14" t="s">
        <v>29</v>
      </c>
      <c r="O64" s="14" t="s">
        <v>29</v>
      </c>
      <c r="P64" s="3" t="s">
        <v>29</v>
      </c>
      <c r="Q64" s="22" t="s">
        <v>29</v>
      </c>
      <c r="R64" s="14" t="s">
        <v>29</v>
      </c>
      <c r="S64" s="14" t="s">
        <v>29</v>
      </c>
      <c r="T64" s="14" t="s">
        <v>29</v>
      </c>
      <c r="U64" s="14" t="s">
        <v>29</v>
      </c>
      <c r="V64" s="14" t="s">
        <v>29</v>
      </c>
      <c r="W64" s="14" t="s">
        <v>29</v>
      </c>
      <c r="X64" s="14" t="s">
        <v>29</v>
      </c>
      <c r="Y64" s="14" t="s">
        <v>29</v>
      </c>
      <c r="Z64" s="3" t="s">
        <v>29</v>
      </c>
      <c r="AA64" s="14" t="s">
        <v>29</v>
      </c>
      <c r="AB64" s="14" t="s">
        <v>29</v>
      </c>
      <c r="AC64" s="14" t="s">
        <v>29</v>
      </c>
      <c r="AD64" s="14" t="s">
        <v>29</v>
      </c>
      <c r="AE64" s="14" t="s">
        <v>29</v>
      </c>
      <c r="AF64" s="14" t="s">
        <v>29</v>
      </c>
      <c r="AG64" s="14" t="s">
        <v>29</v>
      </c>
      <c r="AH64" s="14" t="s">
        <v>29</v>
      </c>
      <c r="AI64" s="48">
        <f t="shared" si="11"/>
        <v>1</v>
      </c>
      <c r="AJ64" s="151"/>
    </row>
    <row r="65" spans="1:36" x14ac:dyDescent="0.25">
      <c r="A65" s="130"/>
      <c r="B65" s="127" t="s">
        <v>45</v>
      </c>
      <c r="C65" s="51" t="s">
        <v>46</v>
      </c>
      <c r="D65" s="3" t="s">
        <v>9</v>
      </c>
      <c r="E65" s="3">
        <v>4</v>
      </c>
      <c r="F65" s="3" t="s">
        <v>9</v>
      </c>
      <c r="G65" s="3" t="s">
        <v>9</v>
      </c>
      <c r="H65" s="3">
        <v>1</v>
      </c>
      <c r="I65" s="3">
        <v>15</v>
      </c>
      <c r="J65" s="3" t="s">
        <v>29</v>
      </c>
      <c r="K65" s="3" t="s">
        <v>29</v>
      </c>
      <c r="L65" s="3" t="s">
        <v>29</v>
      </c>
      <c r="M65" s="3" t="s">
        <v>29</v>
      </c>
      <c r="N65" s="3" t="s">
        <v>29</v>
      </c>
      <c r="O65" s="3" t="s">
        <v>29</v>
      </c>
      <c r="P65" s="3" t="s">
        <v>29</v>
      </c>
      <c r="Q65" s="17" t="s">
        <v>29</v>
      </c>
      <c r="R65" s="3" t="s">
        <v>29</v>
      </c>
      <c r="S65" s="3" t="s">
        <v>29</v>
      </c>
      <c r="T65" s="3" t="s">
        <v>29</v>
      </c>
      <c r="U65" s="3" t="s">
        <v>29</v>
      </c>
      <c r="V65" s="3" t="s">
        <v>29</v>
      </c>
      <c r="W65" s="3" t="s">
        <v>29</v>
      </c>
      <c r="X65" s="3" t="s">
        <v>29</v>
      </c>
      <c r="Y65" s="3" t="s">
        <v>29</v>
      </c>
      <c r="Z65" s="3" t="s">
        <v>29</v>
      </c>
      <c r="AA65" s="3" t="s">
        <v>29</v>
      </c>
      <c r="AB65" s="3" t="s">
        <v>29</v>
      </c>
      <c r="AC65" s="3" t="s">
        <v>29</v>
      </c>
      <c r="AD65" s="3" t="s">
        <v>29</v>
      </c>
      <c r="AE65" s="3" t="s">
        <v>29</v>
      </c>
      <c r="AF65" s="3" t="s">
        <v>29</v>
      </c>
      <c r="AG65" s="3" t="s">
        <v>29</v>
      </c>
      <c r="AH65" s="3" t="s">
        <v>29</v>
      </c>
      <c r="AI65" s="48">
        <f t="shared" si="11"/>
        <v>20</v>
      </c>
      <c r="AJ65" s="152"/>
    </row>
    <row r="66" spans="1:36" ht="13.5" thickBot="1" x14ac:dyDescent="0.3">
      <c r="A66" s="131"/>
      <c r="B66" s="128"/>
      <c r="C66" s="52" t="s">
        <v>47</v>
      </c>
      <c r="D66" s="8" t="s">
        <v>9</v>
      </c>
      <c r="E66" s="8">
        <v>0</v>
      </c>
      <c r="F66" s="8" t="s">
        <v>9</v>
      </c>
      <c r="G66" s="8" t="s">
        <v>9</v>
      </c>
      <c r="H66" s="8">
        <v>0</v>
      </c>
      <c r="I66" s="8">
        <v>0</v>
      </c>
      <c r="J66" s="8" t="s">
        <v>29</v>
      </c>
      <c r="K66" s="8" t="s">
        <v>29</v>
      </c>
      <c r="L66" s="8" t="s">
        <v>29</v>
      </c>
      <c r="M66" s="8" t="s">
        <v>29</v>
      </c>
      <c r="N66" s="8" t="s">
        <v>29</v>
      </c>
      <c r="O66" s="8" t="s">
        <v>29</v>
      </c>
      <c r="P66" s="8" t="s">
        <v>29</v>
      </c>
      <c r="Q66" s="21" t="s">
        <v>29</v>
      </c>
      <c r="R66" s="8" t="s">
        <v>29</v>
      </c>
      <c r="S66" s="8" t="s">
        <v>29</v>
      </c>
      <c r="T66" s="8" t="s">
        <v>29</v>
      </c>
      <c r="U66" s="8" t="s">
        <v>29</v>
      </c>
      <c r="V66" s="8" t="s">
        <v>29</v>
      </c>
      <c r="W66" s="8" t="s">
        <v>29</v>
      </c>
      <c r="X66" s="8" t="s">
        <v>29</v>
      </c>
      <c r="Y66" s="8" t="s">
        <v>29</v>
      </c>
      <c r="Z66" s="8" t="s">
        <v>29</v>
      </c>
      <c r="AA66" s="8" t="s">
        <v>29</v>
      </c>
      <c r="AB66" s="8" t="s">
        <v>29</v>
      </c>
      <c r="AC66" s="8" t="s">
        <v>29</v>
      </c>
      <c r="AD66" s="8" t="s">
        <v>29</v>
      </c>
      <c r="AE66" s="8" t="s">
        <v>29</v>
      </c>
      <c r="AF66" s="8" t="s">
        <v>29</v>
      </c>
      <c r="AG66" s="8" t="s">
        <v>29</v>
      </c>
      <c r="AH66" s="8" t="s">
        <v>29</v>
      </c>
      <c r="AI66" s="58">
        <f t="shared" si="11"/>
        <v>0</v>
      </c>
      <c r="AJ66" s="153"/>
    </row>
    <row r="67" spans="1:36" x14ac:dyDescent="0.25">
      <c r="A67" s="89" t="s">
        <v>36</v>
      </c>
      <c r="B67" s="136" t="s">
        <v>18</v>
      </c>
      <c r="C67" s="49" t="s">
        <v>48</v>
      </c>
      <c r="D67" s="7" t="s">
        <v>9</v>
      </c>
      <c r="E67" s="7">
        <v>0</v>
      </c>
      <c r="F67" s="7">
        <v>2</v>
      </c>
      <c r="G67" s="7" t="s">
        <v>9</v>
      </c>
      <c r="H67" s="7" t="s">
        <v>29</v>
      </c>
      <c r="I67" s="7" t="s">
        <v>29</v>
      </c>
      <c r="J67" s="7" t="s">
        <v>29</v>
      </c>
      <c r="K67" s="7" t="s">
        <v>29</v>
      </c>
      <c r="L67" s="7" t="s">
        <v>29</v>
      </c>
      <c r="M67" s="7" t="s">
        <v>29</v>
      </c>
      <c r="N67" s="7" t="s">
        <v>29</v>
      </c>
      <c r="O67" s="7" t="s">
        <v>29</v>
      </c>
      <c r="P67" s="7" t="s">
        <v>29</v>
      </c>
      <c r="Q67" s="7" t="s">
        <v>29</v>
      </c>
      <c r="R67" s="7" t="s">
        <v>29</v>
      </c>
      <c r="S67" s="7" t="s">
        <v>29</v>
      </c>
      <c r="T67" s="7" t="s">
        <v>29</v>
      </c>
      <c r="U67" s="7" t="s">
        <v>29</v>
      </c>
      <c r="V67" s="7" t="s">
        <v>29</v>
      </c>
      <c r="W67" s="7" t="s">
        <v>29</v>
      </c>
      <c r="X67" s="7" t="s">
        <v>29</v>
      </c>
      <c r="Y67" s="7" t="s">
        <v>29</v>
      </c>
      <c r="Z67" s="7" t="s">
        <v>29</v>
      </c>
      <c r="AA67" s="7" t="s">
        <v>29</v>
      </c>
      <c r="AB67" s="7" t="s">
        <v>29</v>
      </c>
      <c r="AC67" s="7" t="s">
        <v>29</v>
      </c>
      <c r="AD67" s="7" t="s">
        <v>29</v>
      </c>
      <c r="AE67" s="7" t="s">
        <v>29</v>
      </c>
      <c r="AF67" s="7" t="s">
        <v>29</v>
      </c>
      <c r="AG67" s="7" t="s">
        <v>29</v>
      </c>
      <c r="AH67" s="7" t="s">
        <v>29</v>
      </c>
      <c r="AI67" s="54">
        <f t="shared" ref="AI67:AI72" si="12">SUM(D67:AH67)</f>
        <v>2</v>
      </c>
      <c r="AJ67" s="154">
        <f>SUM(AI67:AI72)</f>
        <v>12</v>
      </c>
    </row>
    <row r="68" spans="1:36" x14ac:dyDescent="0.25">
      <c r="A68" s="121"/>
      <c r="B68" s="137"/>
      <c r="C68" s="50" t="s">
        <v>50</v>
      </c>
      <c r="D68" s="14" t="s">
        <v>9</v>
      </c>
      <c r="E68" s="14">
        <v>2</v>
      </c>
      <c r="F68" s="14">
        <v>0</v>
      </c>
      <c r="G68" s="14" t="s">
        <v>9</v>
      </c>
      <c r="H68" s="14" t="s">
        <v>29</v>
      </c>
      <c r="I68" s="14" t="s">
        <v>29</v>
      </c>
      <c r="J68" s="14" t="s">
        <v>29</v>
      </c>
      <c r="K68" s="14" t="s">
        <v>29</v>
      </c>
      <c r="L68" s="14" t="s">
        <v>29</v>
      </c>
      <c r="M68" s="14" t="s">
        <v>29</v>
      </c>
      <c r="N68" s="14" t="s">
        <v>29</v>
      </c>
      <c r="O68" s="14" t="s">
        <v>29</v>
      </c>
      <c r="P68" s="14" t="s">
        <v>29</v>
      </c>
      <c r="Q68" s="14" t="s">
        <v>29</v>
      </c>
      <c r="R68" s="14" t="s">
        <v>29</v>
      </c>
      <c r="S68" s="14" t="s">
        <v>29</v>
      </c>
      <c r="T68" s="14" t="s">
        <v>29</v>
      </c>
      <c r="U68" s="14" t="s">
        <v>29</v>
      </c>
      <c r="V68" s="14" t="s">
        <v>29</v>
      </c>
      <c r="W68" s="14" t="s">
        <v>29</v>
      </c>
      <c r="X68" s="14" t="s">
        <v>29</v>
      </c>
      <c r="Y68" s="14" t="s">
        <v>29</v>
      </c>
      <c r="Z68" s="14" t="s">
        <v>29</v>
      </c>
      <c r="AA68" s="14" t="s">
        <v>29</v>
      </c>
      <c r="AB68" s="14" t="s">
        <v>29</v>
      </c>
      <c r="AC68" s="14" t="s">
        <v>29</v>
      </c>
      <c r="AD68" s="14" t="s">
        <v>29</v>
      </c>
      <c r="AE68" s="14" t="s">
        <v>29</v>
      </c>
      <c r="AF68" s="14" t="s">
        <v>29</v>
      </c>
      <c r="AG68" s="14" t="s">
        <v>29</v>
      </c>
      <c r="AH68" s="14" t="s">
        <v>29</v>
      </c>
      <c r="AI68" s="55">
        <f t="shared" si="12"/>
        <v>2</v>
      </c>
      <c r="AJ68" s="151"/>
    </row>
    <row r="69" spans="1:36" x14ac:dyDescent="0.25">
      <c r="A69" s="121"/>
      <c r="B69" s="137"/>
      <c r="C69" s="50" t="s">
        <v>49</v>
      </c>
      <c r="D69" s="14" t="s">
        <v>9</v>
      </c>
      <c r="E69" s="14">
        <v>1</v>
      </c>
      <c r="F69" s="14">
        <v>3</v>
      </c>
      <c r="G69" s="14" t="s">
        <v>9</v>
      </c>
      <c r="H69" s="14" t="s">
        <v>29</v>
      </c>
      <c r="I69" s="14" t="s">
        <v>29</v>
      </c>
      <c r="J69" s="14" t="s">
        <v>29</v>
      </c>
      <c r="K69" s="14" t="s">
        <v>29</v>
      </c>
      <c r="L69" s="14" t="s">
        <v>29</v>
      </c>
      <c r="M69" s="14" t="s">
        <v>29</v>
      </c>
      <c r="N69" s="14" t="s">
        <v>29</v>
      </c>
      <c r="O69" s="14" t="s">
        <v>29</v>
      </c>
      <c r="P69" s="14" t="s">
        <v>29</v>
      </c>
      <c r="Q69" s="14" t="s">
        <v>29</v>
      </c>
      <c r="R69" s="14" t="s">
        <v>29</v>
      </c>
      <c r="S69" s="14" t="s">
        <v>29</v>
      </c>
      <c r="T69" s="14" t="s">
        <v>29</v>
      </c>
      <c r="U69" s="14" t="s">
        <v>29</v>
      </c>
      <c r="V69" s="14" t="s">
        <v>29</v>
      </c>
      <c r="W69" s="14" t="s">
        <v>29</v>
      </c>
      <c r="X69" s="14" t="s">
        <v>29</v>
      </c>
      <c r="Y69" s="14" t="s">
        <v>29</v>
      </c>
      <c r="Z69" s="14" t="s">
        <v>29</v>
      </c>
      <c r="AA69" s="14" t="s">
        <v>29</v>
      </c>
      <c r="AB69" s="14" t="s">
        <v>29</v>
      </c>
      <c r="AC69" s="14" t="s">
        <v>29</v>
      </c>
      <c r="AD69" s="14" t="s">
        <v>29</v>
      </c>
      <c r="AE69" s="14" t="s">
        <v>29</v>
      </c>
      <c r="AF69" s="14" t="s">
        <v>29</v>
      </c>
      <c r="AG69" s="14" t="s">
        <v>29</v>
      </c>
      <c r="AH69" s="14" t="s">
        <v>29</v>
      </c>
      <c r="AI69" s="55">
        <f t="shared" si="12"/>
        <v>4</v>
      </c>
      <c r="AJ69" s="151"/>
    </row>
    <row r="70" spans="1:36" x14ac:dyDescent="0.25">
      <c r="A70" s="121"/>
      <c r="B70" s="138"/>
      <c r="C70" s="50" t="s">
        <v>51</v>
      </c>
      <c r="D70" s="14" t="s">
        <v>9</v>
      </c>
      <c r="E70" s="14">
        <v>0</v>
      </c>
      <c r="F70" s="14">
        <v>0</v>
      </c>
      <c r="G70" s="14" t="s">
        <v>9</v>
      </c>
      <c r="H70" s="14" t="s">
        <v>29</v>
      </c>
      <c r="I70" s="14" t="s">
        <v>29</v>
      </c>
      <c r="J70" s="14" t="s">
        <v>29</v>
      </c>
      <c r="K70" s="14" t="s">
        <v>29</v>
      </c>
      <c r="L70" s="14" t="s">
        <v>29</v>
      </c>
      <c r="M70" s="14" t="s">
        <v>29</v>
      </c>
      <c r="N70" s="14" t="s">
        <v>29</v>
      </c>
      <c r="O70" s="14" t="s">
        <v>29</v>
      </c>
      <c r="P70" s="14" t="s">
        <v>29</v>
      </c>
      <c r="Q70" s="14" t="s">
        <v>29</v>
      </c>
      <c r="R70" s="14" t="s">
        <v>29</v>
      </c>
      <c r="S70" s="14" t="s">
        <v>29</v>
      </c>
      <c r="T70" s="14" t="s">
        <v>29</v>
      </c>
      <c r="U70" s="14" t="s">
        <v>29</v>
      </c>
      <c r="V70" s="14" t="s">
        <v>29</v>
      </c>
      <c r="W70" s="14" t="s">
        <v>29</v>
      </c>
      <c r="X70" s="14" t="s">
        <v>29</v>
      </c>
      <c r="Y70" s="14" t="s">
        <v>29</v>
      </c>
      <c r="Z70" s="14" t="s">
        <v>29</v>
      </c>
      <c r="AA70" s="14" t="s">
        <v>29</v>
      </c>
      <c r="AB70" s="14" t="s">
        <v>29</v>
      </c>
      <c r="AC70" s="14" t="s">
        <v>29</v>
      </c>
      <c r="AD70" s="14" t="s">
        <v>29</v>
      </c>
      <c r="AE70" s="14" t="s">
        <v>29</v>
      </c>
      <c r="AF70" s="14" t="s">
        <v>29</v>
      </c>
      <c r="AG70" s="14" t="s">
        <v>29</v>
      </c>
      <c r="AH70" s="14" t="s">
        <v>29</v>
      </c>
      <c r="AI70" s="55">
        <f t="shared" si="12"/>
        <v>0</v>
      </c>
      <c r="AJ70" s="151"/>
    </row>
    <row r="71" spans="1:36" x14ac:dyDescent="0.25">
      <c r="A71" s="90"/>
      <c r="B71" s="139" t="s">
        <v>45</v>
      </c>
      <c r="C71" s="51" t="s">
        <v>46</v>
      </c>
      <c r="D71" s="3" t="s">
        <v>9</v>
      </c>
      <c r="E71" s="3">
        <v>2</v>
      </c>
      <c r="F71" s="3">
        <v>2</v>
      </c>
      <c r="G71" s="3" t="s">
        <v>9</v>
      </c>
      <c r="H71" s="3" t="s">
        <v>29</v>
      </c>
      <c r="I71" s="3" t="s">
        <v>29</v>
      </c>
      <c r="J71" s="3" t="s">
        <v>29</v>
      </c>
      <c r="K71" s="3" t="s">
        <v>29</v>
      </c>
      <c r="L71" s="3" t="s">
        <v>29</v>
      </c>
      <c r="M71" s="3" t="s">
        <v>29</v>
      </c>
      <c r="N71" s="3" t="s">
        <v>29</v>
      </c>
      <c r="O71" s="3" t="s">
        <v>29</v>
      </c>
      <c r="P71" s="3" t="s">
        <v>29</v>
      </c>
      <c r="Q71" s="3" t="s">
        <v>29</v>
      </c>
      <c r="R71" s="3" t="s">
        <v>29</v>
      </c>
      <c r="S71" s="3" t="s">
        <v>29</v>
      </c>
      <c r="T71" s="3" t="s">
        <v>29</v>
      </c>
      <c r="U71" s="3" t="s">
        <v>29</v>
      </c>
      <c r="V71" s="3" t="s">
        <v>29</v>
      </c>
      <c r="W71" s="3" t="s">
        <v>29</v>
      </c>
      <c r="X71" s="3" t="s">
        <v>29</v>
      </c>
      <c r="Y71" s="3" t="s">
        <v>29</v>
      </c>
      <c r="Z71" s="3" t="s">
        <v>29</v>
      </c>
      <c r="AA71" s="3" t="s">
        <v>29</v>
      </c>
      <c r="AB71" s="3" t="s">
        <v>29</v>
      </c>
      <c r="AC71" s="3" t="s">
        <v>29</v>
      </c>
      <c r="AD71" s="3" t="s">
        <v>29</v>
      </c>
      <c r="AE71" s="3" t="s">
        <v>29</v>
      </c>
      <c r="AF71" s="3" t="s">
        <v>29</v>
      </c>
      <c r="AG71" s="3" t="s">
        <v>29</v>
      </c>
      <c r="AH71" s="3" t="s">
        <v>29</v>
      </c>
      <c r="AI71" s="55">
        <f t="shared" si="12"/>
        <v>4</v>
      </c>
      <c r="AJ71" s="152"/>
    </row>
    <row r="72" spans="1:36" ht="14.25" customHeight="1" thickBot="1" x14ac:dyDescent="0.3">
      <c r="A72" s="91"/>
      <c r="B72" s="140"/>
      <c r="C72" s="52" t="s">
        <v>47</v>
      </c>
      <c r="D72" s="8" t="s">
        <v>9</v>
      </c>
      <c r="E72" s="8">
        <v>0</v>
      </c>
      <c r="F72" s="8">
        <v>0</v>
      </c>
      <c r="G72" s="8" t="s">
        <v>9</v>
      </c>
      <c r="H72" s="8" t="s">
        <v>29</v>
      </c>
      <c r="I72" s="8" t="s">
        <v>29</v>
      </c>
      <c r="J72" s="8" t="s">
        <v>29</v>
      </c>
      <c r="K72" s="8" t="s">
        <v>29</v>
      </c>
      <c r="L72" s="8" t="s">
        <v>29</v>
      </c>
      <c r="M72" s="8" t="s">
        <v>29</v>
      </c>
      <c r="N72" s="8" t="s">
        <v>29</v>
      </c>
      <c r="O72" s="8" t="s">
        <v>29</v>
      </c>
      <c r="P72" s="8" t="s">
        <v>29</v>
      </c>
      <c r="Q72" s="8" t="s">
        <v>29</v>
      </c>
      <c r="R72" s="8" t="s">
        <v>29</v>
      </c>
      <c r="S72" s="8" t="s">
        <v>29</v>
      </c>
      <c r="T72" s="8" t="s">
        <v>29</v>
      </c>
      <c r="U72" s="8" t="s">
        <v>29</v>
      </c>
      <c r="V72" s="8" t="s">
        <v>29</v>
      </c>
      <c r="W72" s="8" t="s">
        <v>29</v>
      </c>
      <c r="X72" s="8" t="s">
        <v>29</v>
      </c>
      <c r="Y72" s="8" t="s">
        <v>29</v>
      </c>
      <c r="Z72" s="8" t="s">
        <v>29</v>
      </c>
      <c r="AA72" s="8" t="s">
        <v>29</v>
      </c>
      <c r="AB72" s="8" t="s">
        <v>29</v>
      </c>
      <c r="AC72" s="8" t="s">
        <v>29</v>
      </c>
      <c r="AD72" s="8" t="s">
        <v>29</v>
      </c>
      <c r="AE72" s="8" t="s">
        <v>29</v>
      </c>
      <c r="AF72" s="8" t="s">
        <v>29</v>
      </c>
      <c r="AG72" s="8" t="s">
        <v>29</v>
      </c>
      <c r="AH72" s="8" t="s">
        <v>29</v>
      </c>
      <c r="AI72" s="56">
        <f t="shared" si="12"/>
        <v>0</v>
      </c>
      <c r="AJ72" s="153"/>
    </row>
    <row r="73" spans="1:36" x14ac:dyDescent="0.25">
      <c r="A73" s="106" t="s">
        <v>73</v>
      </c>
      <c r="B73" s="124" t="s">
        <v>18</v>
      </c>
      <c r="C73" s="49" t="s">
        <v>48</v>
      </c>
      <c r="D73" s="7" t="s">
        <v>10</v>
      </c>
      <c r="E73" s="7" t="s">
        <v>10</v>
      </c>
      <c r="F73" s="7" t="s">
        <v>10</v>
      </c>
      <c r="G73" s="7" t="s">
        <v>10</v>
      </c>
      <c r="H73" s="7" t="s">
        <v>10</v>
      </c>
      <c r="I73" s="7" t="s">
        <v>10</v>
      </c>
      <c r="J73" s="7" t="s">
        <v>10</v>
      </c>
      <c r="K73" s="7" t="s">
        <v>10</v>
      </c>
      <c r="L73" s="7" t="s">
        <v>10</v>
      </c>
      <c r="M73" s="7" t="s">
        <v>10</v>
      </c>
      <c r="N73" s="7" t="s">
        <v>10</v>
      </c>
      <c r="O73" s="7" t="s">
        <v>10</v>
      </c>
      <c r="P73" s="7" t="s">
        <v>10</v>
      </c>
      <c r="Q73" s="7" t="s">
        <v>10</v>
      </c>
      <c r="R73" s="7" t="s">
        <v>10</v>
      </c>
      <c r="S73" s="7" t="s">
        <v>10</v>
      </c>
      <c r="T73" s="7" t="s">
        <v>10</v>
      </c>
      <c r="U73" s="7" t="s">
        <v>10</v>
      </c>
      <c r="V73" s="7" t="s">
        <v>10</v>
      </c>
      <c r="W73" s="7" t="s">
        <v>10</v>
      </c>
      <c r="X73" s="7" t="s">
        <v>10</v>
      </c>
      <c r="Y73" s="7" t="s">
        <v>10</v>
      </c>
      <c r="Z73" s="7" t="s">
        <v>10</v>
      </c>
      <c r="AA73" s="7" t="s">
        <v>10</v>
      </c>
      <c r="AB73" s="7" t="s">
        <v>10</v>
      </c>
      <c r="AC73" s="7" t="s">
        <v>10</v>
      </c>
      <c r="AD73" s="7" t="s">
        <v>10</v>
      </c>
      <c r="AE73" s="7"/>
      <c r="AF73" s="7"/>
      <c r="AG73" s="7"/>
      <c r="AH73" s="7"/>
      <c r="AI73" s="45">
        <f t="shared" ref="AI73:AI78" si="13">SUM(D73:AH73)</f>
        <v>0</v>
      </c>
      <c r="AJ73" s="154">
        <f t="shared" ref="AJ73" si="14">SUM(AI73:AI78)</f>
        <v>0</v>
      </c>
    </row>
    <row r="74" spans="1:36" x14ac:dyDescent="0.25">
      <c r="A74" s="72"/>
      <c r="B74" s="125"/>
      <c r="C74" s="50" t="s">
        <v>50</v>
      </c>
      <c r="D74" s="14" t="s">
        <v>10</v>
      </c>
      <c r="E74" s="14" t="s">
        <v>10</v>
      </c>
      <c r="F74" s="14" t="s">
        <v>10</v>
      </c>
      <c r="G74" s="14" t="s">
        <v>10</v>
      </c>
      <c r="H74" s="14" t="s">
        <v>10</v>
      </c>
      <c r="I74" s="14" t="s">
        <v>10</v>
      </c>
      <c r="J74" s="14" t="s">
        <v>10</v>
      </c>
      <c r="K74" s="14" t="s">
        <v>10</v>
      </c>
      <c r="L74" s="14" t="s">
        <v>10</v>
      </c>
      <c r="M74" s="14" t="s">
        <v>10</v>
      </c>
      <c r="N74" s="14" t="s">
        <v>10</v>
      </c>
      <c r="O74" s="14" t="s">
        <v>10</v>
      </c>
      <c r="P74" s="14" t="s">
        <v>10</v>
      </c>
      <c r="Q74" s="14" t="s">
        <v>10</v>
      </c>
      <c r="R74" s="14" t="s">
        <v>10</v>
      </c>
      <c r="S74" s="14" t="s">
        <v>10</v>
      </c>
      <c r="T74" s="14" t="s">
        <v>10</v>
      </c>
      <c r="U74" s="14" t="s">
        <v>10</v>
      </c>
      <c r="V74" s="14" t="s">
        <v>10</v>
      </c>
      <c r="W74" s="14" t="s">
        <v>10</v>
      </c>
      <c r="X74" s="14" t="s">
        <v>10</v>
      </c>
      <c r="Y74" s="14" t="s">
        <v>10</v>
      </c>
      <c r="Z74" s="14" t="s">
        <v>10</v>
      </c>
      <c r="AA74" s="14" t="s">
        <v>10</v>
      </c>
      <c r="AB74" s="14" t="s">
        <v>10</v>
      </c>
      <c r="AC74" s="14" t="s">
        <v>10</v>
      </c>
      <c r="AD74" s="14" t="s">
        <v>10</v>
      </c>
      <c r="AE74" s="14"/>
      <c r="AF74" s="14"/>
      <c r="AG74" s="14"/>
      <c r="AH74" s="14"/>
      <c r="AI74" s="44">
        <f t="shared" si="13"/>
        <v>0</v>
      </c>
      <c r="AJ74" s="151"/>
    </row>
    <row r="75" spans="1:36" x14ac:dyDescent="0.25">
      <c r="A75" s="72"/>
      <c r="B75" s="125"/>
      <c r="C75" s="50" t="s">
        <v>49</v>
      </c>
      <c r="D75" s="14" t="s">
        <v>10</v>
      </c>
      <c r="E75" s="14" t="s">
        <v>10</v>
      </c>
      <c r="F75" s="14" t="s">
        <v>10</v>
      </c>
      <c r="G75" s="14" t="s">
        <v>10</v>
      </c>
      <c r="H75" s="14" t="s">
        <v>10</v>
      </c>
      <c r="I75" s="14" t="s">
        <v>10</v>
      </c>
      <c r="J75" s="14" t="s">
        <v>10</v>
      </c>
      <c r="K75" s="14" t="s">
        <v>10</v>
      </c>
      <c r="L75" s="14" t="s">
        <v>10</v>
      </c>
      <c r="M75" s="14" t="s">
        <v>10</v>
      </c>
      <c r="N75" s="14" t="s">
        <v>10</v>
      </c>
      <c r="O75" s="14" t="s">
        <v>10</v>
      </c>
      <c r="P75" s="14" t="s">
        <v>10</v>
      </c>
      <c r="Q75" s="14" t="s">
        <v>10</v>
      </c>
      <c r="R75" s="14" t="s">
        <v>10</v>
      </c>
      <c r="S75" s="14" t="s">
        <v>10</v>
      </c>
      <c r="T75" s="14" t="s">
        <v>10</v>
      </c>
      <c r="U75" s="14" t="s">
        <v>10</v>
      </c>
      <c r="V75" s="14" t="s">
        <v>10</v>
      </c>
      <c r="W75" s="14" t="s">
        <v>10</v>
      </c>
      <c r="X75" s="14" t="s">
        <v>10</v>
      </c>
      <c r="Y75" s="14" t="s">
        <v>10</v>
      </c>
      <c r="Z75" s="14" t="s">
        <v>10</v>
      </c>
      <c r="AA75" s="14" t="s">
        <v>10</v>
      </c>
      <c r="AB75" s="14" t="s">
        <v>10</v>
      </c>
      <c r="AC75" s="14" t="s">
        <v>10</v>
      </c>
      <c r="AD75" s="14" t="s">
        <v>10</v>
      </c>
      <c r="AE75" s="14"/>
      <c r="AF75" s="14"/>
      <c r="AG75" s="14"/>
      <c r="AH75" s="14"/>
      <c r="AI75" s="44">
        <f t="shared" si="13"/>
        <v>0</v>
      </c>
      <c r="AJ75" s="151"/>
    </row>
    <row r="76" spans="1:36" x14ac:dyDescent="0.25">
      <c r="A76" s="72"/>
      <c r="B76" s="126"/>
      <c r="C76" s="50" t="s">
        <v>51</v>
      </c>
      <c r="D76" s="14" t="s">
        <v>10</v>
      </c>
      <c r="E76" s="14" t="s">
        <v>10</v>
      </c>
      <c r="F76" s="14" t="s">
        <v>10</v>
      </c>
      <c r="G76" s="14" t="s">
        <v>10</v>
      </c>
      <c r="H76" s="14" t="s">
        <v>10</v>
      </c>
      <c r="I76" s="14" t="s">
        <v>10</v>
      </c>
      <c r="J76" s="14" t="s">
        <v>10</v>
      </c>
      <c r="K76" s="14" t="s">
        <v>10</v>
      </c>
      <c r="L76" s="14" t="s">
        <v>10</v>
      </c>
      <c r="M76" s="14" t="s">
        <v>10</v>
      </c>
      <c r="N76" s="14" t="s">
        <v>10</v>
      </c>
      <c r="O76" s="14" t="s">
        <v>10</v>
      </c>
      <c r="P76" s="14" t="s">
        <v>10</v>
      </c>
      <c r="Q76" s="14" t="s">
        <v>10</v>
      </c>
      <c r="R76" s="14" t="s">
        <v>10</v>
      </c>
      <c r="S76" s="14" t="s">
        <v>10</v>
      </c>
      <c r="T76" s="14" t="s">
        <v>10</v>
      </c>
      <c r="U76" s="14" t="s">
        <v>10</v>
      </c>
      <c r="V76" s="14" t="s">
        <v>10</v>
      </c>
      <c r="W76" s="14" t="s">
        <v>10</v>
      </c>
      <c r="X76" s="14" t="s">
        <v>10</v>
      </c>
      <c r="Y76" s="14" t="s">
        <v>10</v>
      </c>
      <c r="Z76" s="14" t="s">
        <v>10</v>
      </c>
      <c r="AA76" s="14" t="s">
        <v>10</v>
      </c>
      <c r="AB76" s="14" t="s">
        <v>10</v>
      </c>
      <c r="AC76" s="14" t="s">
        <v>10</v>
      </c>
      <c r="AD76" s="14" t="s">
        <v>10</v>
      </c>
      <c r="AE76" s="14"/>
      <c r="AF76" s="14"/>
      <c r="AG76" s="14"/>
      <c r="AH76" s="14"/>
      <c r="AI76" s="44">
        <f t="shared" si="13"/>
        <v>0</v>
      </c>
      <c r="AJ76" s="151"/>
    </row>
    <row r="77" spans="1:36" x14ac:dyDescent="0.25">
      <c r="A77" s="72"/>
      <c r="B77" s="127" t="s">
        <v>45</v>
      </c>
      <c r="C77" s="51" t="s">
        <v>46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10</v>
      </c>
      <c r="I77" s="3" t="s">
        <v>10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  <c r="O77" s="3" t="s">
        <v>10</v>
      </c>
      <c r="P77" s="3" t="s">
        <v>10</v>
      </c>
      <c r="Q77" s="3" t="s">
        <v>10</v>
      </c>
      <c r="R77" s="3" t="s">
        <v>10</v>
      </c>
      <c r="S77" s="3" t="s">
        <v>10</v>
      </c>
      <c r="T77" s="3" t="s">
        <v>10</v>
      </c>
      <c r="U77" s="3" t="s">
        <v>10</v>
      </c>
      <c r="V77" s="3" t="s">
        <v>10</v>
      </c>
      <c r="W77" s="3" t="s">
        <v>10</v>
      </c>
      <c r="X77" s="3" t="s">
        <v>10</v>
      </c>
      <c r="Y77" s="3" t="s">
        <v>10</v>
      </c>
      <c r="Z77" s="3" t="s">
        <v>10</v>
      </c>
      <c r="AA77" s="3" t="s">
        <v>10</v>
      </c>
      <c r="AB77" s="3" t="s">
        <v>10</v>
      </c>
      <c r="AC77" s="3" t="s">
        <v>10</v>
      </c>
      <c r="AD77" s="3" t="s">
        <v>10</v>
      </c>
      <c r="AE77" s="3"/>
      <c r="AF77" s="3"/>
      <c r="AG77" s="3"/>
      <c r="AH77" s="3"/>
      <c r="AI77" s="44">
        <f t="shared" si="13"/>
        <v>0</v>
      </c>
      <c r="AJ77" s="152"/>
    </row>
    <row r="78" spans="1:36" ht="13.5" thickBot="1" x14ac:dyDescent="0.3">
      <c r="A78" s="157"/>
      <c r="B78" s="125"/>
      <c r="C78" s="53" t="s">
        <v>47</v>
      </c>
      <c r="D78" s="13" t="s">
        <v>10</v>
      </c>
      <c r="E78" s="13" t="s">
        <v>10</v>
      </c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  <c r="O78" s="13" t="s">
        <v>10</v>
      </c>
      <c r="P78" s="13" t="s">
        <v>10</v>
      </c>
      <c r="Q78" s="13" t="s">
        <v>10</v>
      </c>
      <c r="R78" s="13" t="s">
        <v>10</v>
      </c>
      <c r="S78" s="13" t="s">
        <v>10</v>
      </c>
      <c r="T78" s="13" t="s">
        <v>10</v>
      </c>
      <c r="U78" s="13" t="s">
        <v>10</v>
      </c>
      <c r="V78" s="13" t="s">
        <v>10</v>
      </c>
      <c r="W78" s="13" t="s">
        <v>10</v>
      </c>
      <c r="X78" s="13" t="s">
        <v>10</v>
      </c>
      <c r="Y78" s="13" t="s">
        <v>10</v>
      </c>
      <c r="Z78" s="13" t="s">
        <v>10</v>
      </c>
      <c r="AA78" s="13" t="s">
        <v>10</v>
      </c>
      <c r="AB78" s="13" t="s">
        <v>10</v>
      </c>
      <c r="AC78" s="13" t="s">
        <v>10</v>
      </c>
      <c r="AD78" s="13" t="s">
        <v>10</v>
      </c>
      <c r="AE78" s="13"/>
      <c r="AF78" s="13"/>
      <c r="AG78" s="13"/>
      <c r="AH78" s="13"/>
      <c r="AI78" s="65">
        <f t="shared" si="13"/>
        <v>0</v>
      </c>
      <c r="AJ78" s="155"/>
    </row>
    <row r="79" spans="1:36" ht="13.5" thickBot="1" x14ac:dyDescent="0.3">
      <c r="A79" s="163" t="s">
        <v>1</v>
      </c>
      <c r="B79" s="164"/>
      <c r="C79" s="165"/>
      <c r="D79" s="68">
        <f t="shared" ref="D79:AI79" si="15">SUM(D19:D78)</f>
        <v>64</v>
      </c>
      <c r="E79" s="68">
        <f t="shared" si="15"/>
        <v>279</v>
      </c>
      <c r="F79" s="68">
        <f t="shared" si="15"/>
        <v>48</v>
      </c>
      <c r="G79" s="68">
        <f t="shared" si="15"/>
        <v>0</v>
      </c>
      <c r="H79" s="68">
        <f t="shared" si="15"/>
        <v>247</v>
      </c>
      <c r="I79" s="68">
        <f t="shared" si="15"/>
        <v>362</v>
      </c>
      <c r="J79" s="68">
        <f t="shared" si="15"/>
        <v>242</v>
      </c>
      <c r="K79" s="68">
        <f t="shared" si="15"/>
        <v>186</v>
      </c>
      <c r="L79" s="68">
        <f t="shared" si="15"/>
        <v>172</v>
      </c>
      <c r="M79" s="68">
        <f t="shared" si="15"/>
        <v>88</v>
      </c>
      <c r="N79" s="68">
        <f t="shared" si="15"/>
        <v>0</v>
      </c>
      <c r="O79" s="68">
        <f t="shared" si="15"/>
        <v>260</v>
      </c>
      <c r="P79" s="68">
        <f t="shared" si="15"/>
        <v>141</v>
      </c>
      <c r="Q79" s="68">
        <f t="shared" si="15"/>
        <v>156</v>
      </c>
      <c r="R79" s="68">
        <f t="shared" si="15"/>
        <v>173</v>
      </c>
      <c r="S79" s="68">
        <f t="shared" si="15"/>
        <v>168</v>
      </c>
      <c r="T79" s="68">
        <f t="shared" si="15"/>
        <v>37</v>
      </c>
      <c r="U79" s="68">
        <f t="shared" si="15"/>
        <v>60</v>
      </c>
      <c r="V79" s="68">
        <f t="shared" si="15"/>
        <v>145</v>
      </c>
      <c r="W79" s="68">
        <f t="shared" si="15"/>
        <v>185</v>
      </c>
      <c r="X79" s="68">
        <f t="shared" si="15"/>
        <v>361</v>
      </c>
      <c r="Y79" s="68">
        <f t="shared" si="15"/>
        <v>224</v>
      </c>
      <c r="Z79" s="68">
        <f t="shared" si="15"/>
        <v>147</v>
      </c>
      <c r="AA79" s="68">
        <f t="shared" si="15"/>
        <v>43</v>
      </c>
      <c r="AB79" s="68">
        <f t="shared" si="15"/>
        <v>83</v>
      </c>
      <c r="AC79" s="68">
        <f t="shared" si="15"/>
        <v>210</v>
      </c>
      <c r="AD79" s="68">
        <f t="shared" si="15"/>
        <v>0</v>
      </c>
      <c r="AE79" s="68">
        <f t="shared" si="15"/>
        <v>0</v>
      </c>
      <c r="AF79" s="68">
        <f t="shared" si="15"/>
        <v>0</v>
      </c>
      <c r="AG79" s="68">
        <f t="shared" si="15"/>
        <v>0</v>
      </c>
      <c r="AH79" s="68">
        <f t="shared" si="15"/>
        <v>0</v>
      </c>
      <c r="AI79" s="68">
        <f t="shared" si="15"/>
        <v>4081</v>
      </c>
      <c r="AJ79" s="69">
        <f>SUM(AJ19:AJ78)</f>
        <v>4081</v>
      </c>
    </row>
    <row r="81" spans="1:36" x14ac:dyDescent="0.25">
      <c r="A81" s="5"/>
      <c r="B81" s="5"/>
      <c r="C81" s="5"/>
      <c r="D81" s="1" t="s">
        <v>10</v>
      </c>
      <c r="E81" s="109" t="s">
        <v>11</v>
      </c>
      <c r="F81" s="109"/>
      <c r="G81" s="6"/>
      <c r="H81" s="1" t="s">
        <v>9</v>
      </c>
      <c r="I81" s="109" t="s">
        <v>12</v>
      </c>
      <c r="J81" s="109"/>
      <c r="K81" s="6"/>
      <c r="L81" s="1" t="s">
        <v>13</v>
      </c>
      <c r="M81" s="109" t="s">
        <v>14</v>
      </c>
      <c r="N81" s="109"/>
      <c r="O81" s="109"/>
      <c r="P81" s="109"/>
      <c r="Q81" s="109"/>
      <c r="R81" s="6"/>
      <c r="S81" s="1" t="s">
        <v>15</v>
      </c>
      <c r="T81" s="109" t="s">
        <v>16</v>
      </c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</row>
    <row r="82" spans="1:36" x14ac:dyDescent="0.25">
      <c r="H82" s="1" t="s">
        <v>55</v>
      </c>
      <c r="I82" s="109" t="s">
        <v>56</v>
      </c>
      <c r="J82" s="109"/>
    </row>
    <row r="84" spans="1:36" x14ac:dyDescent="0.25">
      <c r="O84" s="2"/>
    </row>
    <row r="85" spans="1:36" x14ac:dyDescent="0.25">
      <c r="O85" s="2"/>
    </row>
    <row r="86" spans="1:36" x14ac:dyDescent="0.25">
      <c r="O86" s="2"/>
    </row>
    <row r="87" spans="1:36" x14ac:dyDescent="0.25">
      <c r="O87" s="2"/>
    </row>
    <row r="88" spans="1:36" x14ac:dyDescent="0.25">
      <c r="O88" s="2"/>
    </row>
    <row r="89" spans="1:36" x14ac:dyDescent="0.25">
      <c r="O89" s="2"/>
    </row>
  </sheetData>
  <mergeCells count="76">
    <mergeCell ref="A7:C7"/>
    <mergeCell ref="AI7:AJ7"/>
    <mergeCell ref="A6:C6"/>
    <mergeCell ref="A1:AJ1"/>
    <mergeCell ref="A2:C3"/>
    <mergeCell ref="AI2:AJ3"/>
    <mergeCell ref="A4:C4"/>
    <mergeCell ref="AI4:AJ4"/>
    <mergeCell ref="A5:C5"/>
    <mergeCell ref="AI5:AJ5"/>
    <mergeCell ref="AI6:AJ6"/>
    <mergeCell ref="A13:C13"/>
    <mergeCell ref="AI13:AJ13"/>
    <mergeCell ref="A12:C12"/>
    <mergeCell ref="AI12:AJ12"/>
    <mergeCell ref="A11:C11"/>
    <mergeCell ref="AI11:AJ11"/>
    <mergeCell ref="A9:C9"/>
    <mergeCell ref="AI9:AJ9"/>
    <mergeCell ref="A8:C8"/>
    <mergeCell ref="AI8:AJ8"/>
    <mergeCell ref="A10:C10"/>
    <mergeCell ref="AI10:AJ10"/>
    <mergeCell ref="A19:A24"/>
    <mergeCell ref="B19:B22"/>
    <mergeCell ref="AJ19:AJ24"/>
    <mergeCell ref="B23:B24"/>
    <mergeCell ref="A14:C14"/>
    <mergeCell ref="AI14:AJ14"/>
    <mergeCell ref="A16:AJ16"/>
    <mergeCell ref="A17:A18"/>
    <mergeCell ref="B17:C18"/>
    <mergeCell ref="AI17:AI18"/>
    <mergeCell ref="AJ17:AJ18"/>
    <mergeCell ref="A31:A36"/>
    <mergeCell ref="B31:B34"/>
    <mergeCell ref="AJ31:AJ36"/>
    <mergeCell ref="B35:B36"/>
    <mergeCell ref="A25:A30"/>
    <mergeCell ref="B25:B28"/>
    <mergeCell ref="AJ25:AJ30"/>
    <mergeCell ref="B29:B30"/>
    <mergeCell ref="A37:A42"/>
    <mergeCell ref="B37:B40"/>
    <mergeCell ref="AJ37:AJ42"/>
    <mergeCell ref="B41:B42"/>
    <mergeCell ref="B59:B60"/>
    <mergeCell ref="A43:A48"/>
    <mergeCell ref="B43:B46"/>
    <mergeCell ref="AJ43:AJ48"/>
    <mergeCell ref="B47:B48"/>
    <mergeCell ref="A55:A60"/>
    <mergeCell ref="B55:B58"/>
    <mergeCell ref="AJ55:AJ60"/>
    <mergeCell ref="A49:A54"/>
    <mergeCell ref="B49:B52"/>
    <mergeCell ref="AJ49:AJ54"/>
    <mergeCell ref="B53:B54"/>
    <mergeCell ref="A61:A66"/>
    <mergeCell ref="B61:B64"/>
    <mergeCell ref="AJ61:AJ66"/>
    <mergeCell ref="B65:B66"/>
    <mergeCell ref="T81:AJ81"/>
    <mergeCell ref="A73:A78"/>
    <mergeCell ref="B73:B76"/>
    <mergeCell ref="AJ73:AJ78"/>
    <mergeCell ref="B77:B78"/>
    <mergeCell ref="A67:A72"/>
    <mergeCell ref="B67:B70"/>
    <mergeCell ref="AJ67:AJ72"/>
    <mergeCell ref="B71:B72"/>
    <mergeCell ref="I82:J82"/>
    <mergeCell ref="A79:C79"/>
    <mergeCell ref="E81:F81"/>
    <mergeCell ref="I81:J81"/>
    <mergeCell ref="M81:Q81"/>
  </mergeCells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Gráficos</vt:lpstr>
      </vt:variant>
      <vt:variant>
        <vt:i4>1</vt:i4>
      </vt:variant>
    </vt:vector>
  </HeadingPairs>
  <TitlesOfParts>
    <vt:vector size="14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 2025</vt:lpstr>
      <vt:lpstr>DEZEMBRO 2025</vt:lpstr>
      <vt:lpstr>JANEIRO 2026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PegaNet</cp:lastModifiedBy>
  <cp:revision>1</cp:revision>
  <cp:lastPrinted>2024-02-02T16:42:55Z</cp:lastPrinted>
  <dcterms:created xsi:type="dcterms:W3CDTF">2006-09-16T00:00:00Z</dcterms:created>
  <dcterms:modified xsi:type="dcterms:W3CDTF">2026-01-27T13:42:10Z</dcterms:modified>
  <dc:language>pt-BR</dc:language>
</cp:coreProperties>
</file>